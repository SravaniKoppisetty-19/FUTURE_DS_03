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rava\OneDrive\Documents\"/>
    </mc:Choice>
  </mc:AlternateContent>
  <xr:revisionPtr revIDLastSave="0" documentId="13_ncr:1_{1B90B9F1-2164-46C0-87A6-386FCE10D7AE}" xr6:coauthVersionLast="47" xr6:coauthVersionMax="47" xr10:uidLastSave="{00000000-0000-0000-0000-000000000000}"/>
  <bookViews>
    <workbookView xWindow="-96" yWindow="0" windowWidth="15708" windowHeight="13056" activeTab="2" xr2:uid="{23C5040E-31C2-4977-B906-DB1994CD2AF9}"/>
  </bookViews>
  <sheets>
    <sheet name="Sheet4" sheetId="5" r:id="rId1"/>
    <sheet name="Sheet1" sheetId="1" r:id="rId2"/>
    <sheet name="Sheet2" sheetId="2" r:id="rId3"/>
  </sheets>
  <definedNames>
    <definedName name="_xlchart.v1.0" hidden="1">Sheet4!$D$13:$D$17</definedName>
    <definedName name="_xlchart.v1.1" hidden="1">Sheet4!$E$12</definedName>
    <definedName name="_xlchart.v1.2" hidden="1">Sheet4!$E$13:$E$17</definedName>
    <definedName name="_xlchart.v1.3" hidden="1">Sheet4!$D$13:$D$17</definedName>
    <definedName name="_xlchart.v1.4" hidden="1">Sheet4!$E$12</definedName>
    <definedName name="_xlchart.v1.5" hidden="1">Sheet4!$E$13:$E$17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I6" i="1"/>
  <c r="F9" i="5"/>
  <c r="F8" i="5"/>
  <c r="F7" i="5"/>
  <c r="F6" i="5"/>
  <c r="F5" i="5"/>
  <c r="F4" i="5"/>
</calcChain>
</file>

<file path=xl/sharedStrings.xml><?xml version="1.0" encoding="utf-8"?>
<sst xmlns="http://schemas.openxmlformats.org/spreadsheetml/2006/main" count="72" uniqueCount="22">
  <si>
    <t>Date</t>
  </si>
  <si>
    <t>Channels</t>
  </si>
  <si>
    <t>Visitors</t>
  </si>
  <si>
    <t>Leads</t>
  </si>
  <si>
    <t>Qualified_Leads</t>
  </si>
  <si>
    <t>Oppurtunities</t>
  </si>
  <si>
    <t>Customers</t>
  </si>
  <si>
    <t>Google Ads</t>
  </si>
  <si>
    <t>Facebook</t>
  </si>
  <si>
    <t>Instagram</t>
  </si>
  <si>
    <t>Linkedin</t>
  </si>
  <si>
    <t>Email</t>
  </si>
  <si>
    <t>Youtube</t>
  </si>
  <si>
    <t xml:space="preserve"> </t>
  </si>
  <si>
    <t>Row Labels</t>
  </si>
  <si>
    <t>Grand Total</t>
  </si>
  <si>
    <t>Sum of Customers</t>
  </si>
  <si>
    <t>Sum of Visitors</t>
  </si>
  <si>
    <t>Conversion_Rate</t>
  </si>
  <si>
    <t>Channel</t>
  </si>
  <si>
    <t>Stage</t>
  </si>
  <si>
    <t>Qualified Leads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</si>
</sst>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  <xf numFmtId="0" fontId="1" fillId="0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0" fontId="0" fillId="0" borderId="1" xfId="1" applyNumberFormat="1" applyFont="1" applyBorder="1"/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A22E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Conversion</a:t>
            </a:r>
            <a:r>
              <a:rPr lang="en-US" baseline="0">
                <a:solidFill>
                  <a:schemeClr val="bg1"/>
                </a:solidFill>
              </a:rPr>
              <a:t> Rate by Channel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Sheet4!$F$3</c:f>
              <c:strCache>
                <c:ptCount val="1"/>
                <c:pt idx="0">
                  <c:v>Conversion_Rate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Sheet4!$E$4:$E$9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 Ads</c:v>
                </c:pt>
                <c:pt idx="3">
                  <c:v>Instagram</c:v>
                </c:pt>
                <c:pt idx="4">
                  <c:v>Linkedin</c:v>
                </c:pt>
                <c:pt idx="5">
                  <c:v>Youtube</c:v>
                </c:pt>
              </c:strCache>
            </c:strRef>
          </c:cat>
          <c:val>
            <c:numRef>
              <c:f>Sheet4!$F$4:$F$9</c:f>
              <c:numCache>
                <c:formatCode>0.00%</c:formatCode>
                <c:ptCount val="6"/>
                <c:pt idx="0">
                  <c:v>3.4267912772585667E-2</c:v>
                </c:pt>
                <c:pt idx="1">
                  <c:v>8.2533589251439533E-3</c:v>
                </c:pt>
                <c:pt idx="2">
                  <c:v>1.1384615384615385E-2</c:v>
                </c:pt>
                <c:pt idx="3">
                  <c:v>7.3170731707317077E-3</c:v>
                </c:pt>
                <c:pt idx="4">
                  <c:v>1.6981132075471698E-2</c:v>
                </c:pt>
                <c:pt idx="5">
                  <c:v>6.1571125265392785E-3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D-4DAC-9903-E2BE6B2A8B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715268575"/>
        <c:axId val="1275677871"/>
      </c:barChart>
      <c:catAx>
        <c:axId val="7152685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677871"/>
        <c:crosses val="autoZero"/>
        <c:auto val="1"/>
        <c:lblAlgn val="ctr"/>
        <c:lblOffset val="100"/>
        <c:noMultiLvlLbl val="0"/>
      </c:catAx>
      <c:valAx>
        <c:axId val="127567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268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[Task_3_Data_Science_intern.xlsx]Sheet4!PivotTable1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bg1"/>
                </a:solidFill>
              </a:rPr>
              <a:t>Customers by Marketing Channel</a:t>
            </a:r>
          </a:p>
        </c:rich>
      </c:tx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Sheet4!$A$13:$A$19</c:f>
              <c:strCache>
                <c:ptCount val="6"/>
                <c:pt idx="0">
                  <c:v>Email</c:v>
                </c:pt>
                <c:pt idx="1">
                  <c:v>Google Ads</c:v>
                </c:pt>
                <c:pt idx="2">
                  <c:v>Linkedin</c:v>
                </c:pt>
                <c:pt idx="3">
                  <c:v>Facebook</c:v>
                </c:pt>
                <c:pt idx="4">
                  <c:v>Instagram</c:v>
                </c:pt>
                <c:pt idx="5">
                  <c:v>Youtube</c:v>
                </c:pt>
              </c:strCache>
            </c:strRef>
          </c:cat>
          <c:val>
            <c:numRef>
              <c:f>Sheet4!$B$13:$B$19</c:f>
              <c:numCache>
                <c:formatCode>General</c:formatCode>
                <c:ptCount val="6"/>
                <c:pt idx="0">
                  <c:v>110</c:v>
                </c:pt>
                <c:pt idx="1">
                  <c:v>74</c:v>
                </c:pt>
                <c:pt idx="2">
                  <c:v>63</c:v>
                </c:pt>
                <c:pt idx="3">
                  <c:v>43</c:v>
                </c:pt>
                <c:pt idx="4">
                  <c:v>36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E-489D-B6C7-7729CB4142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9745375"/>
        <c:axId val="1369735775"/>
      </c:barChart>
      <c:catAx>
        <c:axId val="136974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735775"/>
        <c:crosses val="autoZero"/>
        <c:auto val="1"/>
        <c:lblAlgn val="ctr"/>
        <c:lblOffset val="100"/>
        <c:noMultiLvlLbl val="0"/>
      </c:catAx>
      <c:valAx>
        <c:axId val="136973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745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plotArea>
      <cx:plotAreaRegion/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3" Type="http://schemas.openxmlformats.org/officeDocument/2006/relationships/image" Target="../media/image2.svg"/><Relationship Id="rId7" Type="http://schemas.openxmlformats.org/officeDocument/2006/relationships/image" Target="../media/image6.sv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5" Type="http://schemas.openxmlformats.org/officeDocument/2006/relationships/image" Target="../media/image4.svg"/><Relationship Id="rId4" Type="http://schemas.openxmlformats.org/officeDocument/2006/relationships/image" Target="../media/image3.png"/><Relationship Id="rId9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541020</xdr:colOff>
      <xdr:row>3</xdr:row>
      <xdr:rowOff>91440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D7A8391-1F42-63A8-35D4-F86261BD4985}"/>
            </a:ext>
          </a:extLst>
        </xdr:cNvPr>
        <xdr:cNvSpPr/>
      </xdr:nvSpPr>
      <xdr:spPr>
        <a:xfrm>
          <a:off x="0" y="0"/>
          <a:ext cx="9075420" cy="64008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 b="1"/>
            <a:t>MARKETING</a:t>
          </a:r>
          <a:r>
            <a:rPr lang="en-IN" sz="2400" b="1" baseline="0"/>
            <a:t> FUNNEL &amp; CONVERSION PERFORMANCE ANALYSIS</a:t>
          </a:r>
        </a:p>
      </xdr:txBody>
    </xdr:sp>
    <xdr:clientData/>
  </xdr:twoCellAnchor>
  <xdr:twoCellAnchor>
    <xdr:from>
      <xdr:col>7</xdr:col>
      <xdr:colOff>403412</xdr:colOff>
      <xdr:row>8</xdr:row>
      <xdr:rowOff>104206</xdr:rowOff>
    </xdr:from>
    <xdr:to>
      <xdr:col>14</xdr:col>
      <xdr:colOff>552824</xdr:colOff>
      <xdr:row>24</xdr:row>
      <xdr:rowOff>89647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77408A-F409-413B-A7ED-D9D9189A4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</xdr:colOff>
      <xdr:row>3</xdr:row>
      <xdr:rowOff>144780</xdr:rowOff>
    </xdr:from>
    <xdr:to>
      <xdr:col>3</xdr:col>
      <xdr:colOff>342900</xdr:colOff>
      <xdr:row>7</xdr:row>
      <xdr:rowOff>144780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9FE1727-34F9-444B-A579-30612D66E668}"/>
            </a:ext>
          </a:extLst>
        </xdr:cNvPr>
        <xdr:cNvSpPr/>
      </xdr:nvSpPr>
      <xdr:spPr>
        <a:xfrm>
          <a:off x="15240" y="693420"/>
          <a:ext cx="2156460" cy="73152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solidFill>
                <a:schemeClr val="accent1"/>
              </a:solidFill>
            </a:rPr>
            <a:t>TOTAL VISITORS</a:t>
          </a:r>
        </a:p>
        <a:p>
          <a:pPr algn="ctr"/>
          <a:r>
            <a:rPr lang="en-IN" sz="2400" b="1">
              <a:solidFill>
                <a:schemeClr val="accent1"/>
              </a:solidFill>
            </a:rPr>
            <a:t>         </a:t>
          </a:r>
          <a:r>
            <a:rPr lang="en-IN" sz="2400" b="1">
              <a:solidFill>
                <a:schemeClr val="tx1"/>
              </a:solidFill>
            </a:rPr>
            <a:t>28,260</a:t>
          </a:r>
        </a:p>
      </xdr:txBody>
    </xdr:sp>
    <xdr:clientData/>
  </xdr:twoCellAnchor>
  <xdr:twoCellAnchor>
    <xdr:from>
      <xdr:col>3</xdr:col>
      <xdr:colOff>502920</xdr:colOff>
      <xdr:row>3</xdr:row>
      <xdr:rowOff>152400</xdr:rowOff>
    </xdr:from>
    <xdr:to>
      <xdr:col>7</xdr:col>
      <xdr:colOff>220980</xdr:colOff>
      <xdr:row>7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67304A4-F443-4A6F-9690-69A3A3E4E9C1}"/>
            </a:ext>
          </a:extLst>
        </xdr:cNvPr>
        <xdr:cNvSpPr/>
      </xdr:nvSpPr>
      <xdr:spPr>
        <a:xfrm>
          <a:off x="2331720" y="701040"/>
          <a:ext cx="2156460" cy="7315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solidFill>
                <a:schemeClr val="accent6"/>
              </a:solidFill>
            </a:rPr>
            <a:t>TOTAL LEADS</a:t>
          </a:r>
        </a:p>
        <a:p>
          <a:pPr algn="ctr"/>
          <a:r>
            <a:rPr lang="en-IN" sz="2400" b="1">
              <a:solidFill>
                <a:schemeClr val="tx1"/>
              </a:solidFill>
            </a:rPr>
            <a:t>        3,782</a:t>
          </a:r>
        </a:p>
      </xdr:txBody>
    </xdr:sp>
    <xdr:clientData/>
  </xdr:twoCellAnchor>
  <xdr:twoCellAnchor>
    <xdr:from>
      <xdr:col>7</xdr:col>
      <xdr:colOff>365760</xdr:colOff>
      <xdr:row>3</xdr:row>
      <xdr:rowOff>160020</xdr:rowOff>
    </xdr:from>
    <xdr:to>
      <xdr:col>11</xdr:col>
      <xdr:colOff>83820</xdr:colOff>
      <xdr:row>7</xdr:row>
      <xdr:rowOff>160020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5FAEEE9-6F62-4691-9D54-3E82F3ED7494}"/>
            </a:ext>
          </a:extLst>
        </xdr:cNvPr>
        <xdr:cNvSpPr/>
      </xdr:nvSpPr>
      <xdr:spPr>
        <a:xfrm>
          <a:off x="4632960" y="708660"/>
          <a:ext cx="2156460" cy="73152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solidFill>
                <a:schemeClr val="accent2"/>
              </a:solidFill>
            </a:rPr>
            <a:t>TOTAL CUSTOMERS</a:t>
          </a:r>
        </a:p>
        <a:p>
          <a:pPr algn="ctr"/>
          <a:r>
            <a:rPr lang="en-IN" sz="2400" b="1">
              <a:solidFill>
                <a:schemeClr val="tx1"/>
              </a:solidFill>
            </a:rPr>
            <a:t>         355</a:t>
          </a:r>
        </a:p>
      </xdr:txBody>
    </xdr:sp>
    <xdr:clientData/>
  </xdr:twoCellAnchor>
  <xdr:twoCellAnchor>
    <xdr:from>
      <xdr:col>11</xdr:col>
      <xdr:colOff>236220</xdr:colOff>
      <xdr:row>3</xdr:row>
      <xdr:rowOff>167640</xdr:rowOff>
    </xdr:from>
    <xdr:to>
      <xdr:col>14</xdr:col>
      <xdr:colOff>563880</xdr:colOff>
      <xdr:row>7</xdr:row>
      <xdr:rowOff>167640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2DAE71B-8889-4124-8B74-F879AB90AD28}"/>
            </a:ext>
          </a:extLst>
        </xdr:cNvPr>
        <xdr:cNvSpPr/>
      </xdr:nvSpPr>
      <xdr:spPr>
        <a:xfrm>
          <a:off x="6941820" y="716280"/>
          <a:ext cx="2156460" cy="73152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solidFill>
                <a:schemeClr val="accent4"/>
              </a:solidFill>
            </a:rPr>
            <a:t>OVERALL CONVERSION RATE</a:t>
          </a:r>
        </a:p>
        <a:p>
          <a:pPr algn="ctr"/>
          <a:r>
            <a:rPr lang="en-IN" sz="2400" b="1">
              <a:solidFill>
                <a:sysClr val="windowText" lastClr="000000"/>
              </a:solidFill>
            </a:rPr>
            <a:t>        1.26%</a:t>
          </a:r>
        </a:p>
      </xdr:txBody>
    </xdr:sp>
    <xdr:clientData/>
  </xdr:twoCellAnchor>
  <xdr:twoCellAnchor editAs="oneCell">
    <xdr:from>
      <xdr:col>0</xdr:col>
      <xdr:colOff>190500</xdr:colOff>
      <xdr:row>4</xdr:row>
      <xdr:rowOff>121920</xdr:rowOff>
    </xdr:from>
    <xdr:to>
      <xdr:col>1</xdr:col>
      <xdr:colOff>160020</xdr:colOff>
      <xdr:row>7</xdr:row>
      <xdr:rowOff>152400</xdr:rowOff>
    </xdr:to>
    <xdr:pic>
      <xdr:nvPicPr>
        <xdr:cNvPr id="9" name="Graphic 8" descr="Users with solid fill">
          <a:extLst>
            <a:ext uri="{FF2B5EF4-FFF2-40B4-BE49-F238E27FC236}">
              <a16:creationId xmlns:a16="http://schemas.microsoft.com/office/drawing/2014/main" id="{E0EF5175-82D9-ACA8-CD74-B782D0125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0500" y="853440"/>
          <a:ext cx="579120" cy="579120"/>
        </a:xfrm>
        <a:prstGeom prst="rect">
          <a:avLst/>
        </a:prstGeom>
      </xdr:spPr>
    </xdr:pic>
    <xdr:clientData/>
  </xdr:twoCellAnchor>
  <xdr:twoCellAnchor editAs="oneCell">
    <xdr:from>
      <xdr:col>7</xdr:col>
      <xdr:colOff>579120</xdr:colOff>
      <xdr:row>4</xdr:row>
      <xdr:rowOff>144780</xdr:rowOff>
    </xdr:from>
    <xdr:to>
      <xdr:col>8</xdr:col>
      <xdr:colOff>548640</xdr:colOff>
      <xdr:row>7</xdr:row>
      <xdr:rowOff>175260</xdr:rowOff>
    </xdr:to>
    <xdr:pic>
      <xdr:nvPicPr>
        <xdr:cNvPr id="14" name="Graphic 13" descr="Users with solid fill">
          <a:extLst>
            <a:ext uri="{FF2B5EF4-FFF2-40B4-BE49-F238E27FC236}">
              <a16:creationId xmlns:a16="http://schemas.microsoft.com/office/drawing/2014/main" id="{9B887874-993E-45F4-8C0B-BCA7344B7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4846320" y="876300"/>
          <a:ext cx="579120" cy="579120"/>
        </a:xfrm>
        <a:prstGeom prst="rect">
          <a:avLst/>
        </a:prstGeom>
      </xdr:spPr>
    </xdr:pic>
    <xdr:clientData/>
  </xdr:twoCellAnchor>
  <xdr:twoCellAnchor editAs="oneCell">
    <xdr:from>
      <xdr:col>4</xdr:col>
      <xdr:colOff>129540</xdr:colOff>
      <xdr:row>4</xdr:row>
      <xdr:rowOff>121920</xdr:rowOff>
    </xdr:from>
    <xdr:to>
      <xdr:col>5</xdr:col>
      <xdr:colOff>99060</xdr:colOff>
      <xdr:row>7</xdr:row>
      <xdr:rowOff>152400</xdr:rowOff>
    </xdr:to>
    <xdr:pic>
      <xdr:nvPicPr>
        <xdr:cNvPr id="15" name="Graphic 14" descr="Users with solid fill">
          <a:extLst>
            <a:ext uri="{FF2B5EF4-FFF2-40B4-BE49-F238E27FC236}">
              <a16:creationId xmlns:a16="http://schemas.microsoft.com/office/drawing/2014/main" id="{B13BF441-7CBE-4E03-B9BF-1F3D3A6CC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567940" y="853440"/>
          <a:ext cx="579120" cy="579120"/>
        </a:xfrm>
        <a:prstGeom prst="rect">
          <a:avLst/>
        </a:prstGeom>
      </xdr:spPr>
    </xdr:pic>
    <xdr:clientData/>
  </xdr:twoCellAnchor>
  <xdr:twoCellAnchor>
    <xdr:from>
      <xdr:col>11</xdr:col>
      <xdr:colOff>518160</xdr:colOff>
      <xdr:row>5</xdr:row>
      <xdr:rowOff>53340</xdr:rowOff>
    </xdr:from>
    <xdr:to>
      <xdr:col>12</xdr:col>
      <xdr:colOff>213360</xdr:colOff>
      <xdr:row>6</xdr:row>
      <xdr:rowOff>91440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8A209D8-C69B-48A4-17A3-8DB2611EAEA6}"/>
            </a:ext>
          </a:extLst>
        </xdr:cNvPr>
        <xdr:cNvSpPr/>
      </xdr:nvSpPr>
      <xdr:spPr>
        <a:xfrm rot="10800000">
          <a:off x="7223760" y="967740"/>
          <a:ext cx="304800" cy="220980"/>
        </a:xfrm>
        <a:prstGeom prst="triangle">
          <a:avLst/>
        </a:prstGeom>
        <a:solidFill>
          <a:schemeClr val="accent4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23995</xdr:colOff>
      <xdr:row>6</xdr:row>
      <xdr:rowOff>26752</xdr:rowOff>
    </xdr:from>
    <xdr:to>
      <xdr:col>12</xdr:col>
      <xdr:colOff>141362</xdr:colOff>
      <xdr:row>6</xdr:row>
      <xdr:rowOff>182442</xdr:rowOff>
    </xdr:to>
    <xdr:sp macro="" textlink="">
      <xdr:nvSpPr>
        <xdr:cNvPr id="17" name="Diagonal Stripe 16">
          <a:extLst>
            <a:ext uri="{FF2B5EF4-FFF2-40B4-BE49-F238E27FC236}">
              <a16:creationId xmlns:a16="http://schemas.microsoft.com/office/drawing/2014/main" id="{2C1CEFC2-9C5B-B1AB-23FE-00B7316DA273}"/>
            </a:ext>
          </a:extLst>
        </xdr:cNvPr>
        <xdr:cNvSpPr/>
      </xdr:nvSpPr>
      <xdr:spPr>
        <a:xfrm rot="19439239">
          <a:off x="7339195" y="1124032"/>
          <a:ext cx="117367" cy="155690"/>
        </a:xfrm>
        <a:prstGeom prst="diagStripe">
          <a:avLst/>
        </a:prstGeom>
        <a:solidFill>
          <a:schemeClr val="accent4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22860</xdr:colOff>
      <xdr:row>8</xdr:row>
      <xdr:rowOff>97692</xdr:rowOff>
    </xdr:from>
    <xdr:to>
      <xdr:col>7</xdr:col>
      <xdr:colOff>327660</xdr:colOff>
      <xdr:row>24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1E500378-AC5B-4B92-9C3B-39EC659032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" y="1556564"/>
              <a:ext cx="4590236" cy="29191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343647</xdr:colOff>
      <xdr:row>9</xdr:row>
      <xdr:rowOff>14940</xdr:rowOff>
    </xdr:from>
    <xdr:to>
      <xdr:col>5</xdr:col>
      <xdr:colOff>306294</xdr:colOff>
      <xdr:row>10</xdr:row>
      <xdr:rowOff>74705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559BF8A-70FF-2D90-7594-EA24FDE3DE4A}"/>
            </a:ext>
          </a:extLst>
        </xdr:cNvPr>
        <xdr:cNvSpPr/>
      </xdr:nvSpPr>
      <xdr:spPr>
        <a:xfrm>
          <a:off x="956235" y="1628587"/>
          <a:ext cx="2413000" cy="239059"/>
        </a:xfrm>
        <a:prstGeom prst="rect">
          <a:avLst/>
        </a:prstGeom>
        <a:solidFill>
          <a:schemeClr val="accent1">
            <a:lumMod val="5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MARKETING  FUNNEL  PERFORMANCE</a:t>
          </a:r>
        </a:p>
      </xdr:txBody>
    </xdr:sp>
    <xdr:clientData/>
  </xdr:twoCellAnchor>
  <xdr:twoCellAnchor>
    <xdr:from>
      <xdr:col>2</xdr:col>
      <xdr:colOff>89646</xdr:colOff>
      <xdr:row>11</xdr:row>
      <xdr:rowOff>14941</xdr:rowOff>
    </xdr:from>
    <xdr:to>
      <xdr:col>7</xdr:col>
      <xdr:colOff>74706</xdr:colOff>
      <xdr:row>13</xdr:row>
      <xdr:rowOff>22412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897871F-1437-9994-6DC6-DC54CC671779}"/>
            </a:ext>
          </a:extLst>
        </xdr:cNvPr>
        <xdr:cNvSpPr/>
      </xdr:nvSpPr>
      <xdr:spPr>
        <a:xfrm>
          <a:off x="1314822" y="1987176"/>
          <a:ext cx="3048002" cy="366060"/>
        </a:xfrm>
        <a:custGeom>
          <a:avLst/>
          <a:gdLst>
            <a:gd name="csX0" fmla="*/ 0 w 2181412"/>
            <a:gd name="csY0" fmla="*/ 0 h 395942"/>
            <a:gd name="csX1" fmla="*/ 2181412 w 2181412"/>
            <a:gd name="csY1" fmla="*/ 0 h 395942"/>
            <a:gd name="csX2" fmla="*/ 2181412 w 2181412"/>
            <a:gd name="csY2" fmla="*/ 395942 h 395942"/>
            <a:gd name="csX3" fmla="*/ 0 w 2181412"/>
            <a:gd name="csY3" fmla="*/ 395942 h 395942"/>
            <a:gd name="csX4" fmla="*/ 0 w 2181412"/>
            <a:gd name="csY4" fmla="*/ 0 h 395942"/>
            <a:gd name="csX0" fmla="*/ 0 w 2181412"/>
            <a:gd name="csY0" fmla="*/ 0 h 395942"/>
            <a:gd name="csX1" fmla="*/ 2181412 w 2181412"/>
            <a:gd name="csY1" fmla="*/ 0 h 395942"/>
            <a:gd name="csX2" fmla="*/ 2054412 w 2181412"/>
            <a:gd name="csY2" fmla="*/ 366059 h 395942"/>
            <a:gd name="csX3" fmla="*/ 0 w 2181412"/>
            <a:gd name="csY3" fmla="*/ 395942 h 395942"/>
            <a:gd name="csX4" fmla="*/ 0 w 2181412"/>
            <a:gd name="csY4" fmla="*/ 0 h 395942"/>
            <a:gd name="csX0" fmla="*/ 0 w 2181412"/>
            <a:gd name="csY0" fmla="*/ 0 h 366060"/>
            <a:gd name="csX1" fmla="*/ 2181412 w 2181412"/>
            <a:gd name="csY1" fmla="*/ 0 h 366060"/>
            <a:gd name="csX2" fmla="*/ 2054412 w 2181412"/>
            <a:gd name="csY2" fmla="*/ 366059 h 366060"/>
            <a:gd name="csX3" fmla="*/ 119529 w 2181412"/>
            <a:gd name="csY3" fmla="*/ 366060 h 366060"/>
            <a:gd name="csX4" fmla="*/ 0 w 2181412"/>
            <a:gd name="csY4" fmla="*/ 0 h 366060"/>
            <a:gd name="csX0" fmla="*/ 0 w 2181412"/>
            <a:gd name="csY0" fmla="*/ 0 h 366060"/>
            <a:gd name="csX1" fmla="*/ 2181412 w 2181412"/>
            <a:gd name="csY1" fmla="*/ 0 h 366060"/>
            <a:gd name="csX2" fmla="*/ 2091765 w 2181412"/>
            <a:gd name="csY2" fmla="*/ 366059 h 366060"/>
            <a:gd name="csX3" fmla="*/ 119529 w 2181412"/>
            <a:gd name="csY3" fmla="*/ 366060 h 366060"/>
            <a:gd name="csX4" fmla="*/ 0 w 2181412"/>
            <a:gd name="csY4" fmla="*/ 0 h 366060"/>
            <a:gd name="csX0" fmla="*/ 0 w 2211295"/>
            <a:gd name="csY0" fmla="*/ 0 h 366060"/>
            <a:gd name="csX1" fmla="*/ 2211295 w 2211295"/>
            <a:gd name="csY1" fmla="*/ 0 h 366060"/>
            <a:gd name="csX2" fmla="*/ 2091765 w 2211295"/>
            <a:gd name="csY2" fmla="*/ 366059 h 366060"/>
            <a:gd name="csX3" fmla="*/ 119529 w 2211295"/>
            <a:gd name="csY3" fmla="*/ 366060 h 366060"/>
            <a:gd name="csX4" fmla="*/ 0 w 2211295"/>
            <a:gd name="csY4" fmla="*/ 0 h 366060"/>
            <a:gd name="csX0" fmla="*/ 0 w 2196354"/>
            <a:gd name="csY0" fmla="*/ 7470 h 373530"/>
            <a:gd name="csX1" fmla="*/ 2196354 w 2196354"/>
            <a:gd name="csY1" fmla="*/ 0 h 373530"/>
            <a:gd name="csX2" fmla="*/ 2091765 w 2196354"/>
            <a:gd name="csY2" fmla="*/ 373529 h 373530"/>
            <a:gd name="csX3" fmla="*/ 119529 w 2196354"/>
            <a:gd name="csY3" fmla="*/ 373530 h 373530"/>
            <a:gd name="csX4" fmla="*/ 0 w 2196354"/>
            <a:gd name="csY4" fmla="*/ 7470 h 373530"/>
            <a:gd name="csX0" fmla="*/ 0 w 2196354"/>
            <a:gd name="csY0" fmla="*/ 7470 h 373530"/>
            <a:gd name="csX1" fmla="*/ 2196354 w 2196354"/>
            <a:gd name="csY1" fmla="*/ 0 h 373530"/>
            <a:gd name="csX2" fmla="*/ 2084294 w 2196354"/>
            <a:gd name="csY2" fmla="*/ 373529 h 373530"/>
            <a:gd name="csX3" fmla="*/ 119529 w 2196354"/>
            <a:gd name="csY3" fmla="*/ 373530 h 373530"/>
            <a:gd name="csX4" fmla="*/ 0 w 2196354"/>
            <a:gd name="csY4" fmla="*/ 7470 h 373530"/>
            <a:gd name="csX0" fmla="*/ 0 w 2196354"/>
            <a:gd name="csY0" fmla="*/ 7470 h 373530"/>
            <a:gd name="csX1" fmla="*/ 2196354 w 2196354"/>
            <a:gd name="csY1" fmla="*/ 0 h 373530"/>
            <a:gd name="csX2" fmla="*/ 2054412 w 2196354"/>
            <a:gd name="csY2" fmla="*/ 373529 h 373530"/>
            <a:gd name="csX3" fmla="*/ 119529 w 2196354"/>
            <a:gd name="csY3" fmla="*/ 373530 h 373530"/>
            <a:gd name="csX4" fmla="*/ 0 w 2196354"/>
            <a:gd name="csY4" fmla="*/ 7470 h 373530"/>
            <a:gd name="csX0" fmla="*/ 0 w 2181413"/>
            <a:gd name="csY0" fmla="*/ 0 h 366060"/>
            <a:gd name="csX1" fmla="*/ 2181413 w 2181413"/>
            <a:gd name="csY1" fmla="*/ 1 h 366060"/>
            <a:gd name="csX2" fmla="*/ 2054412 w 2181413"/>
            <a:gd name="csY2" fmla="*/ 366059 h 366060"/>
            <a:gd name="csX3" fmla="*/ 119529 w 2181413"/>
            <a:gd name="csY3" fmla="*/ 366060 h 366060"/>
            <a:gd name="csX4" fmla="*/ 0 w 2181413"/>
            <a:gd name="csY4" fmla="*/ 0 h 36606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181413" h="366060">
              <a:moveTo>
                <a:pt x="0" y="0"/>
              </a:moveTo>
              <a:lnTo>
                <a:pt x="2181413" y="1"/>
              </a:lnTo>
              <a:lnTo>
                <a:pt x="2054412" y="366059"/>
              </a:lnTo>
              <a:lnTo>
                <a:pt x="119529" y="366060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50000"/>
          </a:schemeClr>
        </a:solidFill>
        <a:ln>
          <a:solidFill>
            <a:schemeClr val="accent5">
              <a:lumMod val="50000"/>
            </a:schemeClr>
          </a:solidFill>
        </a:ln>
        <a:effectLst>
          <a:softEdge rad="3175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/>
            <a:t>28,260</a:t>
          </a:r>
        </a:p>
      </xdr:txBody>
    </xdr:sp>
    <xdr:clientData/>
  </xdr:twoCellAnchor>
  <xdr:twoCellAnchor>
    <xdr:from>
      <xdr:col>2</xdr:col>
      <xdr:colOff>268941</xdr:colOff>
      <xdr:row>13</xdr:row>
      <xdr:rowOff>64097</xdr:rowOff>
    </xdr:from>
    <xdr:to>
      <xdr:col>6</xdr:col>
      <xdr:colOff>500529</xdr:colOff>
      <xdr:row>15</xdr:row>
      <xdr:rowOff>89647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563E6D9-62CE-44EA-8E5A-ECF87B203892}"/>
            </a:ext>
          </a:extLst>
        </xdr:cNvPr>
        <xdr:cNvSpPr/>
      </xdr:nvSpPr>
      <xdr:spPr>
        <a:xfrm>
          <a:off x="1494117" y="2394921"/>
          <a:ext cx="2681941" cy="384138"/>
        </a:xfrm>
        <a:custGeom>
          <a:avLst/>
          <a:gdLst>
            <a:gd name="csX0" fmla="*/ 0 w 1934883"/>
            <a:gd name="csY0" fmla="*/ 0 h 369196"/>
            <a:gd name="csX1" fmla="*/ 1934883 w 1934883"/>
            <a:gd name="csY1" fmla="*/ 0 h 369196"/>
            <a:gd name="csX2" fmla="*/ 1934883 w 1934883"/>
            <a:gd name="csY2" fmla="*/ 369196 h 369196"/>
            <a:gd name="csX3" fmla="*/ 0 w 1934883"/>
            <a:gd name="csY3" fmla="*/ 369196 h 369196"/>
            <a:gd name="csX4" fmla="*/ 0 w 1934883"/>
            <a:gd name="csY4" fmla="*/ 0 h 369196"/>
            <a:gd name="csX0" fmla="*/ 0 w 1934883"/>
            <a:gd name="csY0" fmla="*/ 0 h 369196"/>
            <a:gd name="csX1" fmla="*/ 1934883 w 1934883"/>
            <a:gd name="csY1" fmla="*/ 0 h 369196"/>
            <a:gd name="csX2" fmla="*/ 1770530 w 1934883"/>
            <a:gd name="csY2" fmla="*/ 369196 h 369196"/>
            <a:gd name="csX3" fmla="*/ 0 w 1934883"/>
            <a:gd name="csY3" fmla="*/ 369196 h 369196"/>
            <a:gd name="csX4" fmla="*/ 0 w 1934883"/>
            <a:gd name="csY4" fmla="*/ 0 h 369196"/>
            <a:gd name="csX0" fmla="*/ 0 w 1934883"/>
            <a:gd name="csY0" fmla="*/ 0 h 369196"/>
            <a:gd name="csX1" fmla="*/ 1934883 w 1934883"/>
            <a:gd name="csY1" fmla="*/ 0 h 369196"/>
            <a:gd name="csX2" fmla="*/ 1807882 w 1934883"/>
            <a:gd name="csY2" fmla="*/ 361725 h 369196"/>
            <a:gd name="csX3" fmla="*/ 0 w 1934883"/>
            <a:gd name="csY3" fmla="*/ 369196 h 369196"/>
            <a:gd name="csX4" fmla="*/ 0 w 1934883"/>
            <a:gd name="csY4" fmla="*/ 0 h 369196"/>
            <a:gd name="csX0" fmla="*/ 0 w 1934883"/>
            <a:gd name="csY0" fmla="*/ 0 h 369196"/>
            <a:gd name="csX1" fmla="*/ 1934883 w 1934883"/>
            <a:gd name="csY1" fmla="*/ 0 h 369196"/>
            <a:gd name="csX2" fmla="*/ 1807882 w 1934883"/>
            <a:gd name="csY2" fmla="*/ 361725 h 369196"/>
            <a:gd name="csX3" fmla="*/ 156882 w 1934883"/>
            <a:gd name="csY3" fmla="*/ 369196 h 369196"/>
            <a:gd name="csX4" fmla="*/ 0 w 1934883"/>
            <a:gd name="csY4" fmla="*/ 0 h 369196"/>
            <a:gd name="csX0" fmla="*/ 0 w 1890741"/>
            <a:gd name="csY0" fmla="*/ 0 h 384138"/>
            <a:gd name="csX1" fmla="*/ 1890741 w 1890741"/>
            <a:gd name="csY1" fmla="*/ 14942 h 384138"/>
            <a:gd name="csX2" fmla="*/ 1763740 w 1890741"/>
            <a:gd name="csY2" fmla="*/ 376667 h 384138"/>
            <a:gd name="csX3" fmla="*/ 112740 w 1890741"/>
            <a:gd name="csY3" fmla="*/ 384138 h 384138"/>
            <a:gd name="csX4" fmla="*/ 0 w 1890741"/>
            <a:gd name="csY4" fmla="*/ 0 h 384138"/>
            <a:gd name="csX0" fmla="*/ 0 w 1890741"/>
            <a:gd name="csY0" fmla="*/ 0 h 399079"/>
            <a:gd name="csX1" fmla="*/ 1890741 w 1890741"/>
            <a:gd name="csY1" fmla="*/ 14942 h 399079"/>
            <a:gd name="csX2" fmla="*/ 1756384 w 1890741"/>
            <a:gd name="csY2" fmla="*/ 399079 h 399079"/>
            <a:gd name="csX3" fmla="*/ 112740 w 1890741"/>
            <a:gd name="csY3" fmla="*/ 384138 h 399079"/>
            <a:gd name="csX4" fmla="*/ 0 w 1890741"/>
            <a:gd name="csY4" fmla="*/ 0 h 399079"/>
            <a:gd name="csX0" fmla="*/ 0 w 1890741"/>
            <a:gd name="csY0" fmla="*/ 0 h 384138"/>
            <a:gd name="csX1" fmla="*/ 1890741 w 1890741"/>
            <a:gd name="csY1" fmla="*/ 14942 h 384138"/>
            <a:gd name="csX2" fmla="*/ 1756384 w 1890741"/>
            <a:gd name="csY2" fmla="*/ 376667 h 384138"/>
            <a:gd name="csX3" fmla="*/ 112740 w 1890741"/>
            <a:gd name="csY3" fmla="*/ 384138 h 384138"/>
            <a:gd name="csX4" fmla="*/ 0 w 1890741"/>
            <a:gd name="csY4" fmla="*/ 0 h 384138"/>
            <a:gd name="csX0" fmla="*/ 0 w 1868670"/>
            <a:gd name="csY0" fmla="*/ 0 h 384138"/>
            <a:gd name="csX1" fmla="*/ 1868670 w 1868670"/>
            <a:gd name="csY1" fmla="*/ 14942 h 384138"/>
            <a:gd name="csX2" fmla="*/ 1756384 w 1868670"/>
            <a:gd name="csY2" fmla="*/ 376667 h 384138"/>
            <a:gd name="csX3" fmla="*/ 112740 w 1868670"/>
            <a:gd name="csY3" fmla="*/ 384138 h 384138"/>
            <a:gd name="csX4" fmla="*/ 0 w 1868670"/>
            <a:gd name="csY4" fmla="*/ 0 h 384138"/>
            <a:gd name="csX0" fmla="*/ 0 w 1846599"/>
            <a:gd name="csY0" fmla="*/ 0 h 384138"/>
            <a:gd name="csX1" fmla="*/ 1846599 w 1846599"/>
            <a:gd name="csY1" fmla="*/ 14942 h 384138"/>
            <a:gd name="csX2" fmla="*/ 1756384 w 1846599"/>
            <a:gd name="csY2" fmla="*/ 376667 h 384138"/>
            <a:gd name="csX3" fmla="*/ 112740 w 1846599"/>
            <a:gd name="csY3" fmla="*/ 384138 h 384138"/>
            <a:gd name="csX4" fmla="*/ 0 w 1846599"/>
            <a:gd name="csY4" fmla="*/ 0 h 38413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846599" h="384138">
              <a:moveTo>
                <a:pt x="0" y="0"/>
              </a:moveTo>
              <a:lnTo>
                <a:pt x="1846599" y="14942"/>
              </a:lnTo>
              <a:lnTo>
                <a:pt x="1756384" y="376667"/>
              </a:lnTo>
              <a:lnTo>
                <a:pt x="112740" y="384138"/>
              </a:lnTo>
              <a:lnTo>
                <a:pt x="0" y="0"/>
              </a:lnTo>
              <a:close/>
            </a:path>
          </a:pathLst>
        </a:custGeom>
        <a:solidFill>
          <a:schemeClr val="accent6">
            <a:lumMod val="50000"/>
          </a:schemeClr>
        </a:solidFill>
        <a:ln>
          <a:solidFill>
            <a:schemeClr val="accent6"/>
          </a:solidFill>
        </a:ln>
        <a:effectLst>
          <a:softEdge rad="3175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/>
            <a:t>3,782</a:t>
          </a:r>
        </a:p>
      </xdr:txBody>
    </xdr:sp>
    <xdr:clientData/>
  </xdr:twoCellAnchor>
  <xdr:twoCellAnchor>
    <xdr:from>
      <xdr:col>2</xdr:col>
      <xdr:colOff>448236</xdr:colOff>
      <xdr:row>15</xdr:row>
      <xdr:rowOff>138805</xdr:rowOff>
    </xdr:from>
    <xdr:to>
      <xdr:col>6</xdr:col>
      <xdr:colOff>321236</xdr:colOff>
      <xdr:row>18</xdr:row>
      <xdr:rowOff>7473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012724B-10BC-42A3-8E73-C27288A2D6EF}"/>
            </a:ext>
          </a:extLst>
        </xdr:cNvPr>
        <xdr:cNvSpPr/>
      </xdr:nvSpPr>
      <xdr:spPr>
        <a:xfrm>
          <a:off x="1673412" y="2828217"/>
          <a:ext cx="2323353" cy="406550"/>
        </a:xfrm>
        <a:custGeom>
          <a:avLst/>
          <a:gdLst>
            <a:gd name="csX0" fmla="*/ 0 w 1651000"/>
            <a:gd name="csY0" fmla="*/ 0 h 369197"/>
            <a:gd name="csX1" fmla="*/ 1651000 w 1651000"/>
            <a:gd name="csY1" fmla="*/ 0 h 369197"/>
            <a:gd name="csX2" fmla="*/ 1651000 w 1651000"/>
            <a:gd name="csY2" fmla="*/ 369197 h 369197"/>
            <a:gd name="csX3" fmla="*/ 0 w 1651000"/>
            <a:gd name="csY3" fmla="*/ 369197 h 369197"/>
            <a:gd name="csX4" fmla="*/ 0 w 1651000"/>
            <a:gd name="csY4" fmla="*/ 0 h 369197"/>
            <a:gd name="csX0" fmla="*/ 0 w 1651000"/>
            <a:gd name="csY0" fmla="*/ 0 h 376668"/>
            <a:gd name="csX1" fmla="*/ 1651000 w 1651000"/>
            <a:gd name="csY1" fmla="*/ 0 h 376668"/>
            <a:gd name="csX2" fmla="*/ 1524000 w 1651000"/>
            <a:gd name="csY2" fmla="*/ 376668 h 376668"/>
            <a:gd name="csX3" fmla="*/ 0 w 1651000"/>
            <a:gd name="csY3" fmla="*/ 369197 h 376668"/>
            <a:gd name="csX4" fmla="*/ 0 w 1651000"/>
            <a:gd name="csY4" fmla="*/ 0 h 376668"/>
            <a:gd name="csX0" fmla="*/ 0 w 1651000"/>
            <a:gd name="csY0" fmla="*/ 0 h 384138"/>
            <a:gd name="csX1" fmla="*/ 1651000 w 1651000"/>
            <a:gd name="csY1" fmla="*/ 0 h 384138"/>
            <a:gd name="csX2" fmla="*/ 1524000 w 1651000"/>
            <a:gd name="csY2" fmla="*/ 376668 h 384138"/>
            <a:gd name="csX3" fmla="*/ 112059 w 1651000"/>
            <a:gd name="csY3" fmla="*/ 384138 h 384138"/>
            <a:gd name="csX4" fmla="*/ 0 w 1651000"/>
            <a:gd name="csY4" fmla="*/ 0 h 384138"/>
            <a:gd name="csX0" fmla="*/ 0 w 1651000"/>
            <a:gd name="csY0" fmla="*/ 0 h 399079"/>
            <a:gd name="csX1" fmla="*/ 1651000 w 1651000"/>
            <a:gd name="csY1" fmla="*/ 0 h 399079"/>
            <a:gd name="csX2" fmla="*/ 1524000 w 1651000"/>
            <a:gd name="csY2" fmla="*/ 376668 h 399079"/>
            <a:gd name="csX3" fmla="*/ 164353 w 1651000"/>
            <a:gd name="csY3" fmla="*/ 399079 h 399079"/>
            <a:gd name="csX4" fmla="*/ 0 w 1651000"/>
            <a:gd name="csY4" fmla="*/ 0 h 399079"/>
            <a:gd name="csX0" fmla="*/ 0 w 1651000"/>
            <a:gd name="csY0" fmla="*/ 0 h 376668"/>
            <a:gd name="csX1" fmla="*/ 1651000 w 1651000"/>
            <a:gd name="csY1" fmla="*/ 0 h 376668"/>
            <a:gd name="csX2" fmla="*/ 1524000 w 1651000"/>
            <a:gd name="csY2" fmla="*/ 376668 h 376668"/>
            <a:gd name="csX3" fmla="*/ 119530 w 1651000"/>
            <a:gd name="csY3" fmla="*/ 376667 h 376668"/>
            <a:gd name="csX4" fmla="*/ 0 w 1651000"/>
            <a:gd name="csY4" fmla="*/ 0 h 376668"/>
            <a:gd name="csX0" fmla="*/ 0 w 1651000"/>
            <a:gd name="csY0" fmla="*/ 0 h 399079"/>
            <a:gd name="csX1" fmla="*/ 1651000 w 1651000"/>
            <a:gd name="csY1" fmla="*/ 0 h 399079"/>
            <a:gd name="csX2" fmla="*/ 1524000 w 1651000"/>
            <a:gd name="csY2" fmla="*/ 376668 h 399079"/>
            <a:gd name="csX3" fmla="*/ 149412 w 1651000"/>
            <a:gd name="csY3" fmla="*/ 399079 h 399079"/>
            <a:gd name="csX4" fmla="*/ 0 w 1651000"/>
            <a:gd name="csY4" fmla="*/ 0 h 399079"/>
            <a:gd name="csX0" fmla="*/ 0 w 1651000"/>
            <a:gd name="csY0" fmla="*/ 0 h 406550"/>
            <a:gd name="csX1" fmla="*/ 1651000 w 1651000"/>
            <a:gd name="csY1" fmla="*/ 0 h 406550"/>
            <a:gd name="csX2" fmla="*/ 1524000 w 1651000"/>
            <a:gd name="csY2" fmla="*/ 376668 h 406550"/>
            <a:gd name="csX3" fmla="*/ 112394 w 1651000"/>
            <a:gd name="csY3" fmla="*/ 406550 h 406550"/>
            <a:gd name="csX4" fmla="*/ 0 w 1651000"/>
            <a:gd name="csY4" fmla="*/ 0 h 406550"/>
            <a:gd name="csX0" fmla="*/ 0 w 1651000"/>
            <a:gd name="csY0" fmla="*/ 0 h 406550"/>
            <a:gd name="csX1" fmla="*/ 1651000 w 1651000"/>
            <a:gd name="csY1" fmla="*/ 0 h 406550"/>
            <a:gd name="csX2" fmla="*/ 1509193 w 1651000"/>
            <a:gd name="csY2" fmla="*/ 399080 h 406550"/>
            <a:gd name="csX3" fmla="*/ 112394 w 1651000"/>
            <a:gd name="csY3" fmla="*/ 406550 h 406550"/>
            <a:gd name="csX4" fmla="*/ 0 w 1651000"/>
            <a:gd name="csY4" fmla="*/ 0 h 406550"/>
            <a:gd name="csX0" fmla="*/ 0 w 1621386"/>
            <a:gd name="csY0" fmla="*/ 0 h 406550"/>
            <a:gd name="csX1" fmla="*/ 1621386 w 1621386"/>
            <a:gd name="csY1" fmla="*/ 0 h 406550"/>
            <a:gd name="csX2" fmla="*/ 1509193 w 1621386"/>
            <a:gd name="csY2" fmla="*/ 399080 h 406550"/>
            <a:gd name="csX3" fmla="*/ 112394 w 1621386"/>
            <a:gd name="csY3" fmla="*/ 406550 h 406550"/>
            <a:gd name="csX4" fmla="*/ 0 w 1621386"/>
            <a:gd name="csY4" fmla="*/ 0 h 40655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621386" h="406550">
              <a:moveTo>
                <a:pt x="0" y="0"/>
              </a:moveTo>
              <a:lnTo>
                <a:pt x="1621386" y="0"/>
              </a:lnTo>
              <a:lnTo>
                <a:pt x="1509193" y="399080"/>
              </a:lnTo>
              <a:lnTo>
                <a:pt x="112394" y="406550"/>
              </a:lnTo>
              <a:lnTo>
                <a:pt x="0" y="0"/>
              </a:lnTo>
              <a:close/>
            </a:path>
          </a:pathLst>
        </a:custGeom>
        <a:solidFill>
          <a:schemeClr val="accent2">
            <a:lumMod val="50000"/>
          </a:schemeClr>
        </a:solidFill>
        <a:ln>
          <a:solidFill>
            <a:schemeClr val="accent2"/>
          </a:solidFill>
        </a:ln>
        <a:effectLst>
          <a:softEdge rad="3175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/>
            <a:t>2,091</a:t>
          </a:r>
        </a:p>
      </xdr:txBody>
    </xdr:sp>
    <xdr:clientData/>
  </xdr:twoCellAnchor>
  <xdr:twoCellAnchor>
    <xdr:from>
      <xdr:col>3</xdr:col>
      <xdr:colOff>44823</xdr:colOff>
      <xdr:row>18</xdr:row>
      <xdr:rowOff>26744</xdr:rowOff>
    </xdr:from>
    <xdr:to>
      <xdr:col>6</xdr:col>
      <xdr:colOff>89647</xdr:colOff>
      <xdr:row>20</xdr:row>
      <xdr:rowOff>52296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461F58D-525F-4604-B9E8-A2BAD68F19BE}"/>
            </a:ext>
          </a:extLst>
        </xdr:cNvPr>
        <xdr:cNvSpPr/>
      </xdr:nvSpPr>
      <xdr:spPr>
        <a:xfrm>
          <a:off x="1882588" y="3254038"/>
          <a:ext cx="1882588" cy="384140"/>
        </a:xfrm>
        <a:custGeom>
          <a:avLst/>
          <a:gdLst>
            <a:gd name="csX0" fmla="*/ 0 w 1411941"/>
            <a:gd name="csY0" fmla="*/ 0 h 361726"/>
            <a:gd name="csX1" fmla="*/ 1411941 w 1411941"/>
            <a:gd name="csY1" fmla="*/ 0 h 361726"/>
            <a:gd name="csX2" fmla="*/ 1411941 w 1411941"/>
            <a:gd name="csY2" fmla="*/ 361726 h 361726"/>
            <a:gd name="csX3" fmla="*/ 0 w 1411941"/>
            <a:gd name="csY3" fmla="*/ 361726 h 361726"/>
            <a:gd name="csX4" fmla="*/ 0 w 1411941"/>
            <a:gd name="csY4" fmla="*/ 0 h 361726"/>
            <a:gd name="csX0" fmla="*/ 0 w 1411941"/>
            <a:gd name="csY0" fmla="*/ 0 h 369197"/>
            <a:gd name="csX1" fmla="*/ 1411941 w 1411941"/>
            <a:gd name="csY1" fmla="*/ 0 h 369197"/>
            <a:gd name="csX2" fmla="*/ 1299882 w 1411941"/>
            <a:gd name="csY2" fmla="*/ 369197 h 369197"/>
            <a:gd name="csX3" fmla="*/ 0 w 1411941"/>
            <a:gd name="csY3" fmla="*/ 361726 h 369197"/>
            <a:gd name="csX4" fmla="*/ 0 w 1411941"/>
            <a:gd name="csY4" fmla="*/ 0 h 369197"/>
            <a:gd name="csX0" fmla="*/ 0 w 1411941"/>
            <a:gd name="csY0" fmla="*/ 0 h 369197"/>
            <a:gd name="csX1" fmla="*/ 1411941 w 1411941"/>
            <a:gd name="csY1" fmla="*/ 0 h 369197"/>
            <a:gd name="csX2" fmla="*/ 1299882 w 1411941"/>
            <a:gd name="csY2" fmla="*/ 369197 h 369197"/>
            <a:gd name="csX3" fmla="*/ 164353 w 1411941"/>
            <a:gd name="csY3" fmla="*/ 354256 h 369197"/>
            <a:gd name="csX4" fmla="*/ 0 w 1411941"/>
            <a:gd name="csY4" fmla="*/ 0 h 369197"/>
            <a:gd name="csX0" fmla="*/ 0 w 1329328"/>
            <a:gd name="csY0" fmla="*/ 0 h 369197"/>
            <a:gd name="csX1" fmla="*/ 1329328 w 1329328"/>
            <a:gd name="csY1" fmla="*/ 0 h 369197"/>
            <a:gd name="csX2" fmla="*/ 1217269 w 1329328"/>
            <a:gd name="csY2" fmla="*/ 369197 h 369197"/>
            <a:gd name="csX3" fmla="*/ 81740 w 1329328"/>
            <a:gd name="csY3" fmla="*/ 354256 h 369197"/>
            <a:gd name="csX4" fmla="*/ 0 w 1329328"/>
            <a:gd name="csY4" fmla="*/ 0 h 369197"/>
            <a:gd name="csX0" fmla="*/ 0 w 1329328"/>
            <a:gd name="csY0" fmla="*/ 0 h 384139"/>
            <a:gd name="csX1" fmla="*/ 1329328 w 1329328"/>
            <a:gd name="csY1" fmla="*/ 0 h 384139"/>
            <a:gd name="csX2" fmla="*/ 1217269 w 1329328"/>
            <a:gd name="csY2" fmla="*/ 369197 h 384139"/>
            <a:gd name="csX3" fmla="*/ 119290 w 1329328"/>
            <a:gd name="csY3" fmla="*/ 384139 h 384139"/>
            <a:gd name="csX4" fmla="*/ 0 w 1329328"/>
            <a:gd name="csY4" fmla="*/ 0 h 384139"/>
            <a:gd name="csX0" fmla="*/ 0 w 1329328"/>
            <a:gd name="csY0" fmla="*/ 0 h 391610"/>
            <a:gd name="csX1" fmla="*/ 1329328 w 1329328"/>
            <a:gd name="csY1" fmla="*/ 0 h 391610"/>
            <a:gd name="csX2" fmla="*/ 1217269 w 1329328"/>
            <a:gd name="csY2" fmla="*/ 369197 h 391610"/>
            <a:gd name="csX3" fmla="*/ 119290 w 1329328"/>
            <a:gd name="csY3" fmla="*/ 391610 h 391610"/>
            <a:gd name="csX4" fmla="*/ 0 w 1329328"/>
            <a:gd name="csY4" fmla="*/ 0 h 391610"/>
            <a:gd name="csX0" fmla="*/ 0 w 1329328"/>
            <a:gd name="csY0" fmla="*/ 0 h 369197"/>
            <a:gd name="csX1" fmla="*/ 1329328 w 1329328"/>
            <a:gd name="csY1" fmla="*/ 0 h 369197"/>
            <a:gd name="csX2" fmla="*/ 1217269 w 1329328"/>
            <a:gd name="csY2" fmla="*/ 369197 h 369197"/>
            <a:gd name="csX3" fmla="*/ 119290 w 1329328"/>
            <a:gd name="csY3" fmla="*/ 339316 h 369197"/>
            <a:gd name="csX4" fmla="*/ 0 w 1329328"/>
            <a:gd name="csY4" fmla="*/ 0 h 369197"/>
            <a:gd name="csX0" fmla="*/ 0 w 1329328"/>
            <a:gd name="csY0" fmla="*/ 0 h 376669"/>
            <a:gd name="csX1" fmla="*/ 1329328 w 1329328"/>
            <a:gd name="csY1" fmla="*/ 0 h 376669"/>
            <a:gd name="csX2" fmla="*/ 1217269 w 1329328"/>
            <a:gd name="csY2" fmla="*/ 369197 h 376669"/>
            <a:gd name="csX3" fmla="*/ 119290 w 1329328"/>
            <a:gd name="csY3" fmla="*/ 376669 h 376669"/>
            <a:gd name="csX4" fmla="*/ 0 w 1329328"/>
            <a:gd name="csY4" fmla="*/ 0 h 376669"/>
            <a:gd name="csX0" fmla="*/ 0 w 1329328"/>
            <a:gd name="csY0" fmla="*/ 0 h 384140"/>
            <a:gd name="csX1" fmla="*/ 1329328 w 1329328"/>
            <a:gd name="csY1" fmla="*/ 0 h 384140"/>
            <a:gd name="csX2" fmla="*/ 1217269 w 1329328"/>
            <a:gd name="csY2" fmla="*/ 369197 h 384140"/>
            <a:gd name="csX3" fmla="*/ 119290 w 1329328"/>
            <a:gd name="csY3" fmla="*/ 384140 h 384140"/>
            <a:gd name="csX4" fmla="*/ 0 w 1329328"/>
            <a:gd name="csY4" fmla="*/ 0 h 384140"/>
            <a:gd name="csX0" fmla="*/ 0 w 1389411"/>
            <a:gd name="csY0" fmla="*/ 7471 h 384140"/>
            <a:gd name="csX1" fmla="*/ 1389411 w 1389411"/>
            <a:gd name="csY1" fmla="*/ 0 h 384140"/>
            <a:gd name="csX2" fmla="*/ 1277352 w 1389411"/>
            <a:gd name="csY2" fmla="*/ 369197 h 384140"/>
            <a:gd name="csX3" fmla="*/ 179373 w 1389411"/>
            <a:gd name="csY3" fmla="*/ 384140 h 384140"/>
            <a:gd name="csX4" fmla="*/ 0 w 1389411"/>
            <a:gd name="csY4" fmla="*/ 7471 h 384140"/>
            <a:gd name="csX0" fmla="*/ 0 w 1389411"/>
            <a:gd name="csY0" fmla="*/ 7471 h 376669"/>
            <a:gd name="csX1" fmla="*/ 1389411 w 1389411"/>
            <a:gd name="csY1" fmla="*/ 0 h 376669"/>
            <a:gd name="csX2" fmla="*/ 1277352 w 1389411"/>
            <a:gd name="csY2" fmla="*/ 369197 h 376669"/>
            <a:gd name="csX3" fmla="*/ 104270 w 1389411"/>
            <a:gd name="csY3" fmla="*/ 376669 h 376669"/>
            <a:gd name="csX4" fmla="*/ 0 w 1389411"/>
            <a:gd name="csY4" fmla="*/ 7471 h 376669"/>
            <a:gd name="csX0" fmla="*/ 0 w 1419452"/>
            <a:gd name="csY0" fmla="*/ 14941 h 384139"/>
            <a:gd name="csX1" fmla="*/ 1419452 w 1419452"/>
            <a:gd name="csY1" fmla="*/ 0 h 384139"/>
            <a:gd name="csX2" fmla="*/ 1277352 w 1419452"/>
            <a:gd name="csY2" fmla="*/ 376667 h 384139"/>
            <a:gd name="csX3" fmla="*/ 104270 w 1419452"/>
            <a:gd name="csY3" fmla="*/ 384139 h 384139"/>
            <a:gd name="csX4" fmla="*/ 0 w 1419452"/>
            <a:gd name="csY4" fmla="*/ 14941 h 384139"/>
            <a:gd name="csX0" fmla="*/ 0 w 1374390"/>
            <a:gd name="csY0" fmla="*/ 7470 h 376668"/>
            <a:gd name="csX1" fmla="*/ 1374390 w 1374390"/>
            <a:gd name="csY1" fmla="*/ 0 h 376668"/>
            <a:gd name="csX2" fmla="*/ 1277352 w 1374390"/>
            <a:gd name="csY2" fmla="*/ 369196 h 376668"/>
            <a:gd name="csX3" fmla="*/ 104270 w 1374390"/>
            <a:gd name="csY3" fmla="*/ 376668 h 376668"/>
            <a:gd name="csX4" fmla="*/ 0 w 1374390"/>
            <a:gd name="csY4" fmla="*/ 7470 h 376668"/>
            <a:gd name="csX0" fmla="*/ 0 w 1389411"/>
            <a:gd name="csY0" fmla="*/ 14941 h 384139"/>
            <a:gd name="csX1" fmla="*/ 1389411 w 1389411"/>
            <a:gd name="csY1" fmla="*/ 0 h 384139"/>
            <a:gd name="csX2" fmla="*/ 1277352 w 1389411"/>
            <a:gd name="csY2" fmla="*/ 376667 h 384139"/>
            <a:gd name="csX3" fmla="*/ 104270 w 1389411"/>
            <a:gd name="csY3" fmla="*/ 384139 h 384139"/>
            <a:gd name="csX4" fmla="*/ 0 w 1389411"/>
            <a:gd name="csY4" fmla="*/ 14941 h 384139"/>
            <a:gd name="csX0" fmla="*/ 0 w 1419452"/>
            <a:gd name="csY0" fmla="*/ 14941 h 384139"/>
            <a:gd name="csX1" fmla="*/ 1419452 w 1419452"/>
            <a:gd name="csY1" fmla="*/ 0 h 384139"/>
            <a:gd name="csX2" fmla="*/ 1277352 w 1419452"/>
            <a:gd name="csY2" fmla="*/ 376667 h 384139"/>
            <a:gd name="csX3" fmla="*/ 104270 w 1419452"/>
            <a:gd name="csY3" fmla="*/ 384139 h 384139"/>
            <a:gd name="csX4" fmla="*/ 0 w 1419452"/>
            <a:gd name="csY4" fmla="*/ 14941 h 384139"/>
            <a:gd name="csX0" fmla="*/ 0 w 1419452"/>
            <a:gd name="csY0" fmla="*/ 14941 h 384139"/>
            <a:gd name="csX1" fmla="*/ 1419452 w 1419452"/>
            <a:gd name="csY1" fmla="*/ 0 h 384139"/>
            <a:gd name="csX2" fmla="*/ 1322414 w 1419452"/>
            <a:gd name="csY2" fmla="*/ 369197 h 384139"/>
            <a:gd name="csX3" fmla="*/ 104270 w 1419452"/>
            <a:gd name="csY3" fmla="*/ 384139 h 384139"/>
            <a:gd name="csX4" fmla="*/ 0 w 1419452"/>
            <a:gd name="csY4" fmla="*/ 14941 h 38413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419452" h="384139">
              <a:moveTo>
                <a:pt x="0" y="14941"/>
              </a:moveTo>
              <a:lnTo>
                <a:pt x="1419452" y="0"/>
              </a:lnTo>
              <a:lnTo>
                <a:pt x="1322414" y="369197"/>
              </a:lnTo>
              <a:lnTo>
                <a:pt x="104270" y="384139"/>
              </a:lnTo>
              <a:lnTo>
                <a:pt x="0" y="14941"/>
              </a:lnTo>
              <a:close/>
            </a:path>
          </a:pathLst>
        </a:custGeom>
        <a:solidFill>
          <a:srgbClr val="7030A0"/>
        </a:solidFill>
        <a:ln>
          <a:solidFill>
            <a:srgbClr val="7030A0"/>
          </a:solidFill>
        </a:ln>
        <a:effectLst>
          <a:softEdge rad="3175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/>
            <a:t>1,080</a:t>
          </a:r>
        </a:p>
      </xdr:txBody>
    </xdr:sp>
    <xdr:clientData/>
  </xdr:twoCellAnchor>
  <xdr:twoCellAnchor>
    <xdr:from>
      <xdr:col>3</xdr:col>
      <xdr:colOff>246529</xdr:colOff>
      <xdr:row>20</xdr:row>
      <xdr:rowOff>101451</xdr:rowOff>
    </xdr:from>
    <xdr:to>
      <xdr:col>5</xdr:col>
      <xdr:colOff>522941</xdr:colOff>
      <xdr:row>22</xdr:row>
      <xdr:rowOff>104588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91CCB2D-3F52-4968-8FD5-EEBE7D3B7D57}"/>
            </a:ext>
          </a:extLst>
        </xdr:cNvPr>
        <xdr:cNvSpPr/>
      </xdr:nvSpPr>
      <xdr:spPr>
        <a:xfrm>
          <a:off x="2084294" y="3687333"/>
          <a:ext cx="1501588" cy="361726"/>
        </a:xfrm>
        <a:custGeom>
          <a:avLst/>
          <a:gdLst>
            <a:gd name="csX0" fmla="*/ 0 w 1128059"/>
            <a:gd name="csY0" fmla="*/ 0 h 361726"/>
            <a:gd name="csX1" fmla="*/ 1128059 w 1128059"/>
            <a:gd name="csY1" fmla="*/ 0 h 361726"/>
            <a:gd name="csX2" fmla="*/ 1128059 w 1128059"/>
            <a:gd name="csY2" fmla="*/ 361726 h 361726"/>
            <a:gd name="csX3" fmla="*/ 0 w 1128059"/>
            <a:gd name="csY3" fmla="*/ 361726 h 361726"/>
            <a:gd name="csX4" fmla="*/ 0 w 1128059"/>
            <a:gd name="csY4" fmla="*/ 0 h 361726"/>
            <a:gd name="csX0" fmla="*/ 0 w 1128059"/>
            <a:gd name="csY0" fmla="*/ 0 h 361726"/>
            <a:gd name="csX1" fmla="*/ 1128059 w 1128059"/>
            <a:gd name="csY1" fmla="*/ 0 h 361726"/>
            <a:gd name="csX2" fmla="*/ 1128059 w 1128059"/>
            <a:gd name="csY2" fmla="*/ 361726 h 361726"/>
            <a:gd name="csX3" fmla="*/ 127000 w 1128059"/>
            <a:gd name="csY3" fmla="*/ 354256 h 361726"/>
            <a:gd name="csX4" fmla="*/ 0 w 1128059"/>
            <a:gd name="csY4" fmla="*/ 0 h 361726"/>
            <a:gd name="csX0" fmla="*/ 0 w 1128059"/>
            <a:gd name="csY0" fmla="*/ 0 h 354256"/>
            <a:gd name="csX1" fmla="*/ 1128059 w 1128059"/>
            <a:gd name="csY1" fmla="*/ 0 h 354256"/>
            <a:gd name="csX2" fmla="*/ 1030941 w 1128059"/>
            <a:gd name="csY2" fmla="*/ 354255 h 354256"/>
            <a:gd name="csX3" fmla="*/ 127000 w 1128059"/>
            <a:gd name="csY3" fmla="*/ 354256 h 354256"/>
            <a:gd name="csX4" fmla="*/ 0 w 1128059"/>
            <a:gd name="csY4" fmla="*/ 0 h 354256"/>
            <a:gd name="csX0" fmla="*/ 0 w 1068295"/>
            <a:gd name="csY0" fmla="*/ 7470 h 354256"/>
            <a:gd name="csX1" fmla="*/ 1068295 w 1068295"/>
            <a:gd name="csY1" fmla="*/ 0 h 354256"/>
            <a:gd name="csX2" fmla="*/ 971177 w 1068295"/>
            <a:gd name="csY2" fmla="*/ 354255 h 354256"/>
            <a:gd name="csX3" fmla="*/ 67236 w 1068295"/>
            <a:gd name="csY3" fmla="*/ 354256 h 354256"/>
            <a:gd name="csX4" fmla="*/ 0 w 1068295"/>
            <a:gd name="csY4" fmla="*/ 7470 h 354256"/>
            <a:gd name="csX0" fmla="*/ 0 w 1135530"/>
            <a:gd name="csY0" fmla="*/ 0 h 354257"/>
            <a:gd name="csX1" fmla="*/ 1135530 w 1135530"/>
            <a:gd name="csY1" fmla="*/ 1 h 354257"/>
            <a:gd name="csX2" fmla="*/ 1038412 w 1135530"/>
            <a:gd name="csY2" fmla="*/ 354256 h 354257"/>
            <a:gd name="csX3" fmla="*/ 134471 w 1135530"/>
            <a:gd name="csY3" fmla="*/ 354257 h 354257"/>
            <a:gd name="csX4" fmla="*/ 0 w 1135530"/>
            <a:gd name="csY4" fmla="*/ 0 h 354257"/>
            <a:gd name="csX0" fmla="*/ 0 w 1135530"/>
            <a:gd name="csY0" fmla="*/ 0 h 354257"/>
            <a:gd name="csX1" fmla="*/ 1135530 w 1135530"/>
            <a:gd name="csY1" fmla="*/ 1 h 354257"/>
            <a:gd name="csX2" fmla="*/ 1038412 w 1135530"/>
            <a:gd name="csY2" fmla="*/ 354256 h 354257"/>
            <a:gd name="csX3" fmla="*/ 97118 w 1135530"/>
            <a:gd name="csY3" fmla="*/ 354257 h 354257"/>
            <a:gd name="csX4" fmla="*/ 0 w 1135530"/>
            <a:gd name="csY4" fmla="*/ 0 h 354257"/>
            <a:gd name="csX0" fmla="*/ 0 w 1180353"/>
            <a:gd name="csY0" fmla="*/ 7469 h 361726"/>
            <a:gd name="csX1" fmla="*/ 1180353 w 1180353"/>
            <a:gd name="csY1" fmla="*/ 0 h 361726"/>
            <a:gd name="csX2" fmla="*/ 1038412 w 1180353"/>
            <a:gd name="csY2" fmla="*/ 361725 h 361726"/>
            <a:gd name="csX3" fmla="*/ 97118 w 1180353"/>
            <a:gd name="csY3" fmla="*/ 361726 h 361726"/>
            <a:gd name="csX4" fmla="*/ 0 w 1180353"/>
            <a:gd name="csY4" fmla="*/ 7469 h 361726"/>
            <a:gd name="csX0" fmla="*/ 0 w 1180353"/>
            <a:gd name="csY0" fmla="*/ 7469 h 361726"/>
            <a:gd name="csX1" fmla="*/ 1180353 w 1180353"/>
            <a:gd name="csY1" fmla="*/ 0 h 361726"/>
            <a:gd name="csX2" fmla="*/ 1083236 w 1180353"/>
            <a:gd name="csY2" fmla="*/ 361725 h 361726"/>
            <a:gd name="csX3" fmla="*/ 97118 w 1180353"/>
            <a:gd name="csY3" fmla="*/ 361726 h 361726"/>
            <a:gd name="csX4" fmla="*/ 0 w 1180353"/>
            <a:gd name="csY4" fmla="*/ 7469 h 36172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180353" h="361726">
              <a:moveTo>
                <a:pt x="0" y="7469"/>
              </a:moveTo>
              <a:lnTo>
                <a:pt x="1180353" y="0"/>
              </a:lnTo>
              <a:lnTo>
                <a:pt x="1083236" y="361725"/>
              </a:lnTo>
              <a:lnTo>
                <a:pt x="97118" y="361726"/>
              </a:lnTo>
              <a:lnTo>
                <a:pt x="0" y="7469"/>
              </a:lnTo>
              <a:close/>
            </a:path>
          </a:pathLst>
        </a:custGeom>
        <a:solidFill>
          <a:schemeClr val="accent6">
            <a:lumMod val="75000"/>
          </a:schemeClr>
        </a:solidFill>
        <a:ln>
          <a:solidFill>
            <a:srgbClr val="00B050"/>
          </a:solidFill>
        </a:ln>
        <a:effectLst>
          <a:softEdge rad="3175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/>
            <a:t>355</a:t>
          </a:r>
        </a:p>
      </xdr:txBody>
    </xdr:sp>
    <xdr:clientData/>
  </xdr:twoCellAnchor>
  <xdr:oneCellAnchor>
    <xdr:from>
      <xdr:col>0</xdr:col>
      <xdr:colOff>306295</xdr:colOff>
      <xdr:row>11</xdr:row>
      <xdr:rowOff>22410</xdr:rowOff>
    </xdr:from>
    <xdr:ext cx="874058" cy="344453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9DE383D-7476-5F57-9744-AF93EB54134C}"/>
            </a:ext>
          </a:extLst>
        </xdr:cNvPr>
        <xdr:cNvSpPr txBox="1"/>
      </xdr:nvSpPr>
      <xdr:spPr>
        <a:xfrm>
          <a:off x="306295" y="1994645"/>
          <a:ext cx="874058" cy="3444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r>
            <a:rPr lang="en-IN" sz="1100" b="1"/>
            <a:t>Visitors</a:t>
          </a:r>
        </a:p>
        <a:p>
          <a:pPr algn="l"/>
          <a:r>
            <a:rPr lang="en-IN" sz="1100" b="0"/>
            <a:t>Total</a:t>
          </a:r>
          <a:r>
            <a:rPr lang="en-IN" sz="1100" b="0" baseline="0"/>
            <a:t> Traffic</a:t>
          </a:r>
          <a:endParaRPr lang="en-IN" sz="1100" b="0"/>
        </a:p>
      </xdr:txBody>
    </xdr:sp>
    <xdr:clientData/>
  </xdr:oneCellAnchor>
  <xdr:oneCellAnchor>
    <xdr:from>
      <xdr:col>0</xdr:col>
      <xdr:colOff>283882</xdr:colOff>
      <xdr:row>13</xdr:row>
      <xdr:rowOff>79039</xdr:rowOff>
    </xdr:from>
    <xdr:ext cx="1220580" cy="344453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D642618-659B-46D7-BBCB-72511552BAA6}"/>
            </a:ext>
          </a:extLst>
        </xdr:cNvPr>
        <xdr:cNvSpPr txBox="1"/>
      </xdr:nvSpPr>
      <xdr:spPr>
        <a:xfrm>
          <a:off x="283882" y="2449706"/>
          <a:ext cx="1220580" cy="3444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r>
            <a:rPr lang="en-IN" sz="1100" b="1"/>
            <a:t>Leads</a:t>
          </a:r>
        </a:p>
        <a:p>
          <a:pPr algn="l"/>
          <a:r>
            <a:rPr lang="en-IN" sz="1100" b="0"/>
            <a:t>Potential </a:t>
          </a:r>
          <a:r>
            <a:rPr lang="en-IN" sz="1100" b="0" baseline="0"/>
            <a:t>Customers</a:t>
          </a:r>
          <a:endParaRPr lang="en-IN" sz="1100" b="0"/>
        </a:p>
      </xdr:txBody>
    </xdr:sp>
    <xdr:clientData/>
  </xdr:oneCellAnchor>
  <xdr:oneCellAnchor>
    <xdr:from>
      <xdr:col>0</xdr:col>
      <xdr:colOff>284330</xdr:colOff>
      <xdr:row>15</xdr:row>
      <xdr:rowOff>131333</xdr:rowOff>
    </xdr:from>
    <xdr:ext cx="1142552" cy="344453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3157DC1-192F-4010-8FE5-5ECD730E0057}"/>
            </a:ext>
          </a:extLst>
        </xdr:cNvPr>
        <xdr:cNvSpPr txBox="1"/>
      </xdr:nvSpPr>
      <xdr:spPr>
        <a:xfrm>
          <a:off x="284330" y="2820745"/>
          <a:ext cx="1142552" cy="3444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r>
            <a:rPr lang="en-IN" sz="1100" b="1"/>
            <a:t>Qualified</a:t>
          </a:r>
          <a:r>
            <a:rPr lang="en-IN" sz="1100" b="1" baseline="0"/>
            <a:t> Leads</a:t>
          </a:r>
          <a:endParaRPr lang="en-IN" sz="1100" b="1"/>
        </a:p>
        <a:p>
          <a:pPr algn="l"/>
          <a:r>
            <a:rPr lang="en-IN" sz="1100" b="0"/>
            <a:t>Engaged</a:t>
          </a:r>
          <a:r>
            <a:rPr lang="en-IN" sz="1100" b="0" baseline="0"/>
            <a:t> Prospects</a:t>
          </a:r>
          <a:endParaRPr lang="en-IN" sz="1100" b="0"/>
        </a:p>
      </xdr:txBody>
    </xdr:sp>
    <xdr:clientData/>
  </xdr:oneCellAnchor>
  <xdr:oneCellAnchor>
    <xdr:from>
      <xdr:col>0</xdr:col>
      <xdr:colOff>284330</xdr:colOff>
      <xdr:row>17</xdr:row>
      <xdr:rowOff>176157</xdr:rowOff>
    </xdr:from>
    <xdr:ext cx="1217257" cy="344453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87036C7-28E7-4896-9FD4-ED5D7CDD5FCC}"/>
            </a:ext>
          </a:extLst>
        </xdr:cNvPr>
        <xdr:cNvSpPr txBox="1"/>
      </xdr:nvSpPr>
      <xdr:spPr>
        <a:xfrm>
          <a:off x="284330" y="3224157"/>
          <a:ext cx="1217257" cy="3444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r>
            <a:rPr lang="en-IN" sz="1100" b="1"/>
            <a:t>Oppurtunites</a:t>
          </a:r>
        </a:p>
        <a:p>
          <a:pPr algn="l"/>
          <a:r>
            <a:rPr lang="en-IN" sz="1100" b="0"/>
            <a:t>Sales</a:t>
          </a:r>
          <a:r>
            <a:rPr lang="en-IN" sz="1100" b="0" baseline="0"/>
            <a:t> Oppurtunities</a:t>
          </a:r>
          <a:endParaRPr lang="en-IN" sz="1100" b="0"/>
        </a:p>
      </xdr:txBody>
    </xdr:sp>
    <xdr:clientData/>
  </xdr:oneCellAnchor>
  <xdr:oneCellAnchor>
    <xdr:from>
      <xdr:col>0</xdr:col>
      <xdr:colOff>299271</xdr:colOff>
      <xdr:row>20</xdr:row>
      <xdr:rowOff>101451</xdr:rowOff>
    </xdr:from>
    <xdr:ext cx="1344258" cy="344453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1D8B41E-6A38-48A2-BD58-65F4E62D0321}"/>
            </a:ext>
          </a:extLst>
        </xdr:cNvPr>
        <xdr:cNvSpPr txBox="1"/>
      </xdr:nvSpPr>
      <xdr:spPr>
        <a:xfrm>
          <a:off x="299271" y="3687333"/>
          <a:ext cx="1344258" cy="3444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l"/>
          <a:r>
            <a:rPr lang="en-IN" sz="1100" b="1"/>
            <a:t>Customers</a:t>
          </a:r>
        </a:p>
        <a:p>
          <a:pPr algn="l"/>
          <a:r>
            <a:rPr lang="en-IN" sz="1100" b="0"/>
            <a:t>Converted</a:t>
          </a:r>
          <a:r>
            <a:rPr lang="en-IN" sz="1100" b="0" baseline="0"/>
            <a:t> Customers</a:t>
          </a:r>
          <a:endParaRPr lang="en-IN" sz="1100" b="0"/>
        </a:p>
      </xdr:txBody>
    </xdr:sp>
    <xdr:clientData/>
  </xdr:oneCellAnchor>
  <xdr:twoCellAnchor>
    <xdr:from>
      <xdr:col>0</xdr:col>
      <xdr:colOff>14941</xdr:colOff>
      <xdr:row>25</xdr:row>
      <xdr:rowOff>67235</xdr:rowOff>
    </xdr:from>
    <xdr:to>
      <xdr:col>7</xdr:col>
      <xdr:colOff>298823</xdr:colOff>
      <xdr:row>40</xdr:row>
      <xdr:rowOff>121023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621DABE-47EA-45E1-A288-567837D08D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426042</xdr:colOff>
      <xdr:row>25</xdr:row>
      <xdr:rowOff>110719</xdr:rowOff>
    </xdr:from>
    <xdr:to>
      <xdr:col>14</xdr:col>
      <xdr:colOff>571592</xdr:colOff>
      <xdr:row>38</xdr:row>
      <xdr:rowOff>98961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6AD8FF01-B87F-1D91-7189-EC720BDD587C}"/>
            </a:ext>
          </a:extLst>
        </xdr:cNvPr>
        <xdr:cNvSpPr/>
      </xdr:nvSpPr>
      <xdr:spPr>
        <a:xfrm>
          <a:off x="4720951" y="4563966"/>
          <a:ext cx="4440459" cy="230393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KEY INSIGHTS</a:t>
          </a:r>
        </a:p>
        <a:p>
          <a:pPr algn="l"/>
          <a:endParaRPr lang="en-IN" sz="1400" b="1">
            <a:solidFill>
              <a:schemeClr val="tx1"/>
            </a:solidFill>
          </a:endParaRPr>
        </a:p>
        <a:p>
          <a:pPr algn="l"/>
          <a:r>
            <a:rPr lang="en-IN" sz="1400" b="1">
              <a:solidFill>
                <a:schemeClr val="tx1"/>
              </a:solidFill>
            </a:rPr>
            <a:t>• Total Visitors: 28,260</a:t>
          </a:r>
        </a:p>
        <a:p>
          <a:pPr algn="l"/>
          <a:r>
            <a:rPr lang="en-IN" sz="1400" b="1">
              <a:solidFill>
                <a:schemeClr val="tx1"/>
              </a:solidFill>
            </a:rPr>
            <a:t>• Total Leads: 3,782</a:t>
          </a:r>
        </a:p>
        <a:p>
          <a:pPr algn="l"/>
          <a:r>
            <a:rPr lang="en-IN" sz="1400" b="1">
              <a:solidFill>
                <a:schemeClr val="tx1"/>
              </a:solidFill>
            </a:rPr>
            <a:t>• Total Customers: 355</a:t>
          </a:r>
        </a:p>
        <a:p>
          <a:pPr algn="l"/>
          <a:r>
            <a:rPr lang="en-IN" sz="1400" b="1">
              <a:solidFill>
                <a:schemeClr val="tx1"/>
              </a:solidFill>
            </a:rPr>
            <a:t>• Overall Conversion Rate: 1.26%</a:t>
          </a:r>
        </a:p>
        <a:p>
          <a:pPr algn="l"/>
          <a:r>
            <a:rPr lang="en-IN" sz="1400" b="1">
              <a:solidFill>
                <a:schemeClr val="tx1"/>
              </a:solidFill>
            </a:rPr>
            <a:t>• Email achieved the highest conversion rate (3.43%)</a:t>
          </a:r>
        </a:p>
        <a:p>
          <a:pPr algn="l"/>
          <a:r>
            <a:rPr lang="en-IN" sz="1400" b="1">
              <a:solidFill>
                <a:schemeClr val="tx1"/>
              </a:solidFill>
            </a:rPr>
            <a:t>• LinkedIn showed strong conversion efficiency</a:t>
          </a:r>
        </a:p>
        <a:p>
          <a:pPr algn="l"/>
          <a:r>
            <a:rPr lang="en-IN" sz="1400" b="1">
              <a:solidFill>
                <a:schemeClr val="tx1"/>
              </a:solidFill>
            </a:rPr>
            <a:t>• YouTube had the lowest conversion rate</a:t>
          </a:r>
        </a:p>
        <a:p>
          <a:pPr algn="l"/>
          <a:r>
            <a:rPr lang="en-IN" sz="1400" b="1">
              <a:solidFill>
                <a:schemeClr val="tx1"/>
              </a:solidFill>
            </a:rPr>
            <a:t>• 9.42% of leads converted into customers</a:t>
          </a:r>
        </a:p>
      </xdr:txBody>
    </xdr:sp>
    <xdr:clientData/>
  </xdr:twoCellAnchor>
  <xdr:twoCellAnchor>
    <xdr:from>
      <xdr:col>7</xdr:col>
      <xdr:colOff>434604</xdr:colOff>
      <xdr:row>25</xdr:row>
      <xdr:rowOff>114083</xdr:rowOff>
    </xdr:from>
    <xdr:to>
      <xdr:col>14</xdr:col>
      <xdr:colOff>563031</xdr:colOff>
      <xdr:row>27</xdr:row>
      <xdr:rowOff>71275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A33F98A6-3AD2-84EC-C9A8-908948E9FA5D}"/>
            </a:ext>
          </a:extLst>
        </xdr:cNvPr>
        <xdr:cNvSpPr/>
      </xdr:nvSpPr>
      <xdr:spPr>
        <a:xfrm>
          <a:off x="4720040" y="4673057"/>
          <a:ext cx="4413863" cy="321910"/>
        </a:xfrm>
        <a:prstGeom prst="rect">
          <a:avLst/>
        </a:prstGeom>
        <a:solidFill>
          <a:schemeClr val="accent1">
            <a:lumMod val="5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KEY INSIGHTS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avani Koppisetty" refreshedDate="46173.812474768521" createdVersion="8" refreshedVersion="8" minRefreshableVersion="3" recordCount="30" xr:uid="{430203A7-E7BE-451A-8222-B93F5E66127E}">
  <cacheSource type="worksheet">
    <worksheetSource ref="A2:G32" sheet="Sheet1"/>
  </cacheSource>
  <cacheFields count="7">
    <cacheField name="Date" numFmtId="14">
      <sharedItems containsSemiMixedTypes="0" containsNonDate="0" containsDate="1" containsString="0" minDate="2026-06-01T00:00:00" maxDate="2026-07-01T00:00:00"/>
    </cacheField>
    <cacheField name="Channels" numFmtId="0">
      <sharedItems count="6">
        <s v="Google Ads"/>
        <s v="Facebook"/>
        <s v="Instagram"/>
        <s v="Linkedin"/>
        <s v="Email"/>
        <s v="Youtube"/>
      </sharedItems>
    </cacheField>
    <cacheField name="Visitors" numFmtId="0">
      <sharedItems containsSemiMixedTypes="0" containsString="0" containsNumber="1" containsInteger="1" minValue="600" maxValue="1400"/>
    </cacheField>
    <cacheField name="Leads" numFmtId="0">
      <sharedItems containsSemiMixedTypes="0" containsString="0" containsNumber="1" containsInteger="1" minValue="95" maxValue="210"/>
    </cacheField>
    <cacheField name="Qualified_Leads" numFmtId="0">
      <sharedItems containsSemiMixedTypes="0" containsString="0" containsNumber="1" containsInteger="1" minValue="45" maxValue="110"/>
    </cacheField>
    <cacheField name="Oppurtunities" numFmtId="0">
      <sharedItems containsSemiMixedTypes="0" containsString="0" containsNumber="1" containsInteger="1" minValue="18" maxValue="55"/>
    </cacheField>
    <cacheField name="Customers" numFmtId="0">
      <sharedItems containsSemiMixedTypes="0" containsString="0" containsNumber="1" containsInteger="1" minValue="5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6-06-01T00:00:00"/>
    <x v="0"/>
    <n v="1200"/>
    <n v="180"/>
    <n v="95"/>
    <n v="45"/>
    <n v="12"/>
  </r>
  <r>
    <d v="2026-06-02T00:00:00"/>
    <x v="0"/>
    <n v="1300"/>
    <n v="195"/>
    <n v="100"/>
    <n v="50"/>
    <n v="15"/>
  </r>
  <r>
    <d v="2026-06-03T00:00:00"/>
    <x v="0"/>
    <n v="1250"/>
    <n v="185"/>
    <n v="92"/>
    <n v="46"/>
    <n v="13"/>
  </r>
  <r>
    <d v="2026-06-04T00:00:00"/>
    <x v="0"/>
    <n v="1400"/>
    <n v="210"/>
    <n v="110"/>
    <n v="55"/>
    <n v="18"/>
  </r>
  <r>
    <d v="2026-06-05T00:00:00"/>
    <x v="0"/>
    <n v="1350"/>
    <n v="200"/>
    <n v="105"/>
    <n v="52"/>
    <n v="16"/>
  </r>
  <r>
    <d v="2026-06-06T00:00:00"/>
    <x v="1"/>
    <n v="1000"/>
    <n v="120"/>
    <n v="60"/>
    <n v="28"/>
    <n v="8"/>
  </r>
  <r>
    <d v="2026-06-07T00:00:00"/>
    <x v="1"/>
    <n v="1050"/>
    <n v="125"/>
    <n v="65"/>
    <n v="30"/>
    <n v="9"/>
  </r>
  <r>
    <d v="2026-06-08T00:00:00"/>
    <x v="1"/>
    <n v="980"/>
    <n v="118"/>
    <n v="58"/>
    <n v="27"/>
    <n v="7"/>
  </r>
  <r>
    <d v="2026-06-09T00:00:00"/>
    <x v="1"/>
    <n v="1100"/>
    <n v="132"/>
    <n v="68"/>
    <n v="32"/>
    <n v="10"/>
  </r>
  <r>
    <d v="2026-06-10T00:00:00"/>
    <x v="1"/>
    <n v="1080"/>
    <n v="130"/>
    <n v="66"/>
    <n v="31"/>
    <n v="9"/>
  </r>
  <r>
    <d v="2026-06-11T00:00:00"/>
    <x v="2"/>
    <n v="950"/>
    <n v="115"/>
    <n v="55"/>
    <n v="25"/>
    <n v="6"/>
  </r>
  <r>
    <d v="2026-06-12T00:00:00"/>
    <x v="2"/>
    <n v="980"/>
    <n v="118"/>
    <n v="58"/>
    <n v="26"/>
    <n v="7"/>
  </r>
  <r>
    <d v="2026-06-13T00:00:00"/>
    <x v="2"/>
    <n v="1000"/>
    <n v="120"/>
    <n v="60"/>
    <n v="28"/>
    <n v="8"/>
  </r>
  <r>
    <d v="2026-06-14T00:00:00"/>
    <x v="2"/>
    <n v="1020"/>
    <n v="122"/>
    <n v="62"/>
    <n v="29"/>
    <n v="8"/>
  </r>
  <r>
    <d v="2026-06-15T00:00:00"/>
    <x v="2"/>
    <n v="970"/>
    <n v="116"/>
    <n v="57"/>
    <n v="26"/>
    <n v="7"/>
  </r>
  <r>
    <d v="2026-06-16T00:00:00"/>
    <x v="3"/>
    <n v="700"/>
    <n v="95"/>
    <n v="60"/>
    <n v="35"/>
    <n v="12"/>
  </r>
  <r>
    <d v="2026-06-17T00:00:00"/>
    <x v="3"/>
    <n v="750"/>
    <n v="100"/>
    <n v="65"/>
    <n v="38"/>
    <n v="13"/>
  </r>
  <r>
    <d v="2026-06-18T00:00:00"/>
    <x v="3"/>
    <n v="720"/>
    <n v="98"/>
    <n v="62"/>
    <n v="36"/>
    <n v="11"/>
  </r>
  <r>
    <d v="2026-06-19T00:00:00"/>
    <x v="3"/>
    <n v="780"/>
    <n v="105"/>
    <n v="68"/>
    <n v="40"/>
    <n v="14"/>
  </r>
  <r>
    <d v="2026-06-20T00:00:00"/>
    <x v="3"/>
    <n v="760"/>
    <n v="102"/>
    <n v="66"/>
    <n v="39"/>
    <n v="13"/>
  </r>
  <r>
    <d v="2026-06-21T00:00:00"/>
    <x v="4"/>
    <n v="600"/>
    <n v="110"/>
    <n v="80"/>
    <n v="50"/>
    <n v="20"/>
  </r>
  <r>
    <d v="2026-06-22T00:00:00"/>
    <x v="4"/>
    <n v="650"/>
    <n v="115"/>
    <n v="85"/>
    <n v="52"/>
    <n v="22"/>
  </r>
  <r>
    <d v="2026-06-23T00:00:00"/>
    <x v="4"/>
    <n v="620"/>
    <n v="112"/>
    <n v="82"/>
    <n v="51"/>
    <n v="21"/>
  </r>
  <r>
    <d v="2026-06-24T00:00:00"/>
    <x v="4"/>
    <n v="680"/>
    <n v="120"/>
    <n v="88"/>
    <n v="55"/>
    <n v="24"/>
  </r>
  <r>
    <d v="2026-06-25T00:00:00"/>
    <x v="4"/>
    <n v="660"/>
    <n v="118"/>
    <n v="86"/>
    <n v="54"/>
    <n v="23"/>
  </r>
  <r>
    <d v="2026-06-26T00:00:00"/>
    <x v="5"/>
    <n v="900"/>
    <n v="100"/>
    <n v="45"/>
    <n v="18"/>
    <n v="5"/>
  </r>
  <r>
    <d v="2026-06-27T00:00:00"/>
    <x v="5"/>
    <n v="950"/>
    <n v="105"/>
    <n v="48"/>
    <n v="20"/>
    <n v="6"/>
  </r>
  <r>
    <d v="2026-06-28T00:00:00"/>
    <x v="5"/>
    <n v="920"/>
    <n v="102"/>
    <n v="46"/>
    <n v="19"/>
    <n v="5"/>
  </r>
  <r>
    <d v="2026-06-29T00:00:00"/>
    <x v="5"/>
    <n v="980"/>
    <n v="108"/>
    <n v="50"/>
    <n v="22"/>
    <n v="7"/>
  </r>
  <r>
    <d v="2026-06-30T00:00:00"/>
    <x v="5"/>
    <n v="960"/>
    <n v="106"/>
    <n v="49"/>
    <n v="21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C32B79-293F-482B-8695-FE51C0ABDB2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12:B19" firstHeaderRow="1" firstDataRow="1" firstDataCol="1"/>
  <pivotFields count="7">
    <pivotField numFmtId="14" showAll="0"/>
    <pivotField axis="axisRow" showAll="0" sortType="descending">
      <items count="7">
        <item x="4"/>
        <item x="1"/>
        <item x="0"/>
        <item x="2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1"/>
  </rowFields>
  <rowItems count="7">
    <i>
      <x/>
    </i>
    <i>
      <x v="2"/>
    </i>
    <i>
      <x v="4"/>
    </i>
    <i>
      <x v="1"/>
    </i>
    <i>
      <x v="3"/>
    </i>
    <i>
      <x v="5"/>
    </i>
    <i t="grand">
      <x/>
    </i>
  </rowItems>
  <colItems count="1">
    <i/>
  </colItems>
  <dataFields count="1">
    <dataField name="Sum of Customers" fld="6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09534-6C5A-4DB9-9639-96655D74385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10" firstHeaderRow="0" firstDataRow="1" firstDataCol="1"/>
  <pivotFields count="7">
    <pivotField numFmtId="14" showAll="0"/>
    <pivotField axis="axisRow" showAll="0">
      <items count="7">
        <item x="4"/>
        <item x="1"/>
        <item x="0"/>
        <item x="2"/>
        <item x="3"/>
        <item x="5"/>
        <item t="default"/>
      </items>
    </pivotField>
    <pivotField dataField="1" showAll="0"/>
    <pivotField showAll="0"/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Visitors" fld="2" baseField="0" baseItem="0"/>
    <dataField name="Sum of Customer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D5D5F-A87A-46E1-84BE-D5295B1CA62F}">
  <dimension ref="A3:F19"/>
  <sheetViews>
    <sheetView workbookViewId="0">
      <selection activeCell="B14" sqref="B14"/>
    </sheetView>
  </sheetViews>
  <sheetFormatPr defaultRowHeight="14.4" x14ac:dyDescent="0.3"/>
  <cols>
    <col min="1" max="1" width="12.5546875" bestFit="1" customWidth="1"/>
    <col min="2" max="3" width="16.44140625" bestFit="1" customWidth="1"/>
    <col min="4" max="4" width="12.77734375" customWidth="1"/>
    <col min="5" max="5" width="11.44140625" customWidth="1"/>
    <col min="6" max="6" width="14.88671875" customWidth="1"/>
  </cols>
  <sheetData>
    <row r="3" spans="1:6" x14ac:dyDescent="0.3">
      <c r="A3" s="5" t="s">
        <v>14</v>
      </c>
      <c r="B3" t="s">
        <v>17</v>
      </c>
      <c r="C3" t="s">
        <v>16</v>
      </c>
      <c r="D3" s="1"/>
      <c r="E3" s="2" t="s">
        <v>19</v>
      </c>
      <c r="F3" s="2" t="s">
        <v>18</v>
      </c>
    </row>
    <row r="4" spans="1:6" x14ac:dyDescent="0.3">
      <c r="A4" s="6" t="s">
        <v>11</v>
      </c>
      <c r="B4">
        <v>3210</v>
      </c>
      <c r="C4">
        <v>110</v>
      </c>
      <c r="D4" s="7"/>
      <c r="E4" s="9" t="s">
        <v>11</v>
      </c>
      <c r="F4" s="10">
        <f t="shared" ref="F4:F9" si="0">C4/B4</f>
        <v>3.4267912772585667E-2</v>
      </c>
    </row>
    <row r="5" spans="1:6" x14ac:dyDescent="0.3">
      <c r="A5" s="6" t="s">
        <v>8</v>
      </c>
      <c r="B5">
        <v>5210</v>
      </c>
      <c r="C5">
        <v>43</v>
      </c>
      <c r="D5" s="7"/>
      <c r="E5" s="9" t="s">
        <v>8</v>
      </c>
      <c r="F5" s="10">
        <f t="shared" si="0"/>
        <v>8.2533589251439533E-3</v>
      </c>
    </row>
    <row r="6" spans="1:6" x14ac:dyDescent="0.3">
      <c r="A6" s="6" t="s">
        <v>7</v>
      </c>
      <c r="B6">
        <v>6500</v>
      </c>
      <c r="C6">
        <v>74</v>
      </c>
      <c r="D6" s="7"/>
      <c r="E6" s="9" t="s">
        <v>7</v>
      </c>
      <c r="F6" s="10">
        <f t="shared" si="0"/>
        <v>1.1384615384615385E-2</v>
      </c>
    </row>
    <row r="7" spans="1:6" x14ac:dyDescent="0.3">
      <c r="A7" s="6" t="s">
        <v>9</v>
      </c>
      <c r="B7">
        <v>4920</v>
      </c>
      <c r="C7">
        <v>36</v>
      </c>
      <c r="D7" s="7"/>
      <c r="E7" s="9" t="s">
        <v>9</v>
      </c>
      <c r="F7" s="10">
        <f t="shared" si="0"/>
        <v>7.3170731707317077E-3</v>
      </c>
    </row>
    <row r="8" spans="1:6" x14ac:dyDescent="0.3">
      <c r="A8" s="6" t="s">
        <v>10</v>
      </c>
      <c r="B8">
        <v>3710</v>
      </c>
      <c r="C8">
        <v>63</v>
      </c>
      <c r="E8" s="9" t="s">
        <v>10</v>
      </c>
      <c r="F8" s="10">
        <f t="shared" si="0"/>
        <v>1.6981132075471698E-2</v>
      </c>
    </row>
    <row r="9" spans="1:6" x14ac:dyDescent="0.3">
      <c r="A9" s="6" t="s">
        <v>12</v>
      </c>
      <c r="B9">
        <v>4710</v>
      </c>
      <c r="C9">
        <v>29</v>
      </c>
      <c r="D9" s="7"/>
      <c r="E9" s="9" t="s">
        <v>12</v>
      </c>
      <c r="F9" s="10">
        <f t="shared" si="0"/>
        <v>6.1571125265392785E-3</v>
      </c>
    </row>
    <row r="10" spans="1:6" x14ac:dyDescent="0.3">
      <c r="A10" s="6" t="s">
        <v>15</v>
      </c>
      <c r="B10">
        <v>28260</v>
      </c>
      <c r="C10">
        <v>355</v>
      </c>
    </row>
    <row r="12" spans="1:6" x14ac:dyDescent="0.3">
      <c r="A12" s="5" t="s">
        <v>14</v>
      </c>
      <c r="B12" t="s">
        <v>16</v>
      </c>
      <c r="D12" s="2" t="s">
        <v>20</v>
      </c>
      <c r="E12" s="8" t="s">
        <v>2</v>
      </c>
    </row>
    <row r="13" spans="1:6" x14ac:dyDescent="0.3">
      <c r="A13" s="6" t="s">
        <v>11</v>
      </c>
      <c r="B13" s="11">
        <v>110</v>
      </c>
      <c r="D13" s="4" t="s">
        <v>2</v>
      </c>
      <c r="E13" s="4">
        <v>28260</v>
      </c>
    </row>
    <row r="14" spans="1:6" x14ac:dyDescent="0.3">
      <c r="A14" s="6" t="s">
        <v>7</v>
      </c>
      <c r="B14" s="11">
        <v>74</v>
      </c>
      <c r="D14" s="4" t="s">
        <v>3</v>
      </c>
      <c r="E14" s="4">
        <v>3782</v>
      </c>
    </row>
    <row r="15" spans="1:6" x14ac:dyDescent="0.3">
      <c r="A15" s="6" t="s">
        <v>10</v>
      </c>
      <c r="B15" s="11">
        <v>63</v>
      </c>
      <c r="D15" s="4" t="s">
        <v>21</v>
      </c>
      <c r="E15" s="4">
        <v>2091</v>
      </c>
    </row>
    <row r="16" spans="1:6" x14ac:dyDescent="0.3">
      <c r="A16" s="6" t="s">
        <v>8</v>
      </c>
      <c r="B16" s="11">
        <v>43</v>
      </c>
      <c r="D16" s="4" t="s">
        <v>5</v>
      </c>
      <c r="E16" s="4">
        <v>1080</v>
      </c>
    </row>
    <row r="17" spans="1:5" x14ac:dyDescent="0.3">
      <c r="A17" s="6" t="s">
        <v>9</v>
      </c>
      <c r="B17" s="11">
        <v>36</v>
      </c>
      <c r="D17" s="4" t="s">
        <v>6</v>
      </c>
      <c r="E17" s="4">
        <v>355</v>
      </c>
    </row>
    <row r="18" spans="1:5" x14ac:dyDescent="0.3">
      <c r="A18" s="6" t="s">
        <v>12</v>
      </c>
      <c r="B18" s="11">
        <v>29</v>
      </c>
    </row>
    <row r="19" spans="1:5" x14ac:dyDescent="0.3">
      <c r="A19" s="6" t="s">
        <v>15</v>
      </c>
      <c r="B19" s="11">
        <v>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6984B-B291-4BED-B693-76F54D77B536}">
  <dimension ref="A2:M32"/>
  <sheetViews>
    <sheetView topLeftCell="F1" workbookViewId="0">
      <selection activeCell="I8" sqref="I8"/>
    </sheetView>
  </sheetViews>
  <sheetFormatPr defaultRowHeight="14.4" x14ac:dyDescent="0.3"/>
  <cols>
    <col min="1" max="1" width="14.88671875" customWidth="1"/>
    <col min="2" max="2" width="15.109375" customWidth="1"/>
    <col min="3" max="3" width="17" customWidth="1"/>
    <col min="4" max="4" width="8.44140625" customWidth="1"/>
    <col min="5" max="5" width="13.88671875" customWidth="1"/>
    <col min="6" max="6" width="14.88671875" customWidth="1"/>
    <col min="7" max="7" width="14.44140625" customWidth="1"/>
  </cols>
  <sheetData>
    <row r="2" spans="1:9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9" x14ac:dyDescent="0.3">
      <c r="A3" s="3">
        <v>46174</v>
      </c>
      <c r="B3" s="4" t="s">
        <v>7</v>
      </c>
      <c r="C3" s="4">
        <v>1200</v>
      </c>
      <c r="D3" s="4">
        <v>180</v>
      </c>
      <c r="E3" s="4">
        <v>95</v>
      </c>
      <c r="F3" s="4">
        <v>45</v>
      </c>
      <c r="G3" s="4">
        <v>12</v>
      </c>
    </row>
    <row r="4" spans="1:9" x14ac:dyDescent="0.3">
      <c r="A4" s="3">
        <v>46175</v>
      </c>
      <c r="B4" s="4" t="s">
        <v>7</v>
      </c>
      <c r="C4" s="4">
        <v>1300</v>
      </c>
      <c r="D4" s="4">
        <v>195</v>
      </c>
      <c r="E4" s="4">
        <v>100</v>
      </c>
      <c r="F4" s="4">
        <v>50</v>
      </c>
      <c r="G4" s="4">
        <v>15</v>
      </c>
    </row>
    <row r="5" spans="1:9" x14ac:dyDescent="0.3">
      <c r="A5" s="3">
        <v>46176</v>
      </c>
      <c r="B5" s="4" t="s">
        <v>7</v>
      </c>
      <c r="C5" s="4">
        <v>1250</v>
      </c>
      <c r="D5" s="4">
        <v>185</v>
      </c>
      <c r="E5" s="4">
        <v>92</v>
      </c>
      <c r="F5" s="4">
        <v>46</v>
      </c>
      <c r="G5" s="4">
        <v>13</v>
      </c>
    </row>
    <row r="6" spans="1:9" x14ac:dyDescent="0.3">
      <c r="A6" s="3">
        <v>46177</v>
      </c>
      <c r="B6" s="4" t="s">
        <v>7</v>
      </c>
      <c r="C6" s="4">
        <v>1400</v>
      </c>
      <c r="D6" s="4">
        <v>210</v>
      </c>
      <c r="E6" s="4">
        <v>110</v>
      </c>
      <c r="F6" s="4">
        <v>55</v>
      </c>
      <c r="G6" s="4">
        <v>18</v>
      </c>
      <c r="I6">
        <f>SUM(E3:E32)</f>
        <v>2091</v>
      </c>
    </row>
    <row r="7" spans="1:9" x14ac:dyDescent="0.3">
      <c r="A7" s="3">
        <v>46178</v>
      </c>
      <c r="B7" s="4" t="s">
        <v>7</v>
      </c>
      <c r="C7" s="4">
        <v>1350</v>
      </c>
      <c r="D7" s="4">
        <v>200</v>
      </c>
      <c r="E7" s="4">
        <v>105</v>
      </c>
      <c r="F7" s="4">
        <v>52</v>
      </c>
      <c r="G7" s="4">
        <v>16</v>
      </c>
      <c r="I7">
        <f>SUM(F3:F32)</f>
        <v>1080</v>
      </c>
    </row>
    <row r="8" spans="1:9" x14ac:dyDescent="0.3">
      <c r="A8" s="3">
        <v>46179</v>
      </c>
      <c r="B8" s="4" t="s">
        <v>8</v>
      </c>
      <c r="C8" s="4">
        <v>1000</v>
      </c>
      <c r="D8" s="4">
        <v>120</v>
      </c>
      <c r="E8" s="4">
        <v>60</v>
      </c>
      <c r="F8" s="4">
        <v>28</v>
      </c>
      <c r="G8" s="4">
        <v>8</v>
      </c>
    </row>
    <row r="9" spans="1:9" x14ac:dyDescent="0.3">
      <c r="A9" s="3">
        <v>46180</v>
      </c>
      <c r="B9" s="4" t="s">
        <v>8</v>
      </c>
      <c r="C9" s="4">
        <v>1050</v>
      </c>
      <c r="D9" s="4">
        <v>125</v>
      </c>
      <c r="E9" s="4">
        <v>65</v>
      </c>
      <c r="F9" s="4">
        <v>30</v>
      </c>
      <c r="G9" s="4">
        <v>9</v>
      </c>
    </row>
    <row r="10" spans="1:9" x14ac:dyDescent="0.3">
      <c r="A10" s="3">
        <v>46181</v>
      </c>
      <c r="B10" s="4" t="s">
        <v>8</v>
      </c>
      <c r="C10" s="4">
        <v>980</v>
      </c>
      <c r="D10" s="4">
        <v>118</v>
      </c>
      <c r="E10" s="4">
        <v>58</v>
      </c>
      <c r="F10" s="4">
        <v>27</v>
      </c>
      <c r="G10" s="4">
        <v>7</v>
      </c>
    </row>
    <row r="11" spans="1:9" x14ac:dyDescent="0.3">
      <c r="A11" s="3">
        <v>46182</v>
      </c>
      <c r="B11" s="4" t="s">
        <v>8</v>
      </c>
      <c r="C11" s="4">
        <v>1100</v>
      </c>
      <c r="D11" s="4">
        <v>132</v>
      </c>
      <c r="E11" s="4">
        <v>68</v>
      </c>
      <c r="F11" s="4">
        <v>32</v>
      </c>
      <c r="G11" s="4">
        <v>10</v>
      </c>
    </row>
    <row r="12" spans="1:9" x14ac:dyDescent="0.3">
      <c r="A12" s="3">
        <v>46183</v>
      </c>
      <c r="B12" s="4" t="s">
        <v>8</v>
      </c>
      <c r="C12" s="4">
        <v>1080</v>
      </c>
      <c r="D12" s="4">
        <v>130</v>
      </c>
      <c r="E12" s="4">
        <v>66</v>
      </c>
      <c r="F12" s="4">
        <v>31</v>
      </c>
      <c r="G12" s="4">
        <v>9</v>
      </c>
    </row>
    <row r="13" spans="1:9" x14ac:dyDescent="0.3">
      <c r="A13" s="3">
        <v>46184</v>
      </c>
      <c r="B13" s="4" t="s">
        <v>9</v>
      </c>
      <c r="C13" s="4">
        <v>950</v>
      </c>
      <c r="D13" s="4">
        <v>115</v>
      </c>
      <c r="E13" s="4">
        <v>55</v>
      </c>
      <c r="F13" s="4">
        <v>25</v>
      </c>
      <c r="G13" s="4">
        <v>6</v>
      </c>
    </row>
    <row r="14" spans="1:9" x14ac:dyDescent="0.3">
      <c r="A14" s="3">
        <v>46185</v>
      </c>
      <c r="B14" s="4" t="s">
        <v>9</v>
      </c>
      <c r="C14" s="4">
        <v>980</v>
      </c>
      <c r="D14" s="4">
        <v>118</v>
      </c>
      <c r="E14" s="4">
        <v>58</v>
      </c>
      <c r="F14" s="4">
        <v>26</v>
      </c>
      <c r="G14" s="4">
        <v>7</v>
      </c>
    </row>
    <row r="15" spans="1:9" x14ac:dyDescent="0.3">
      <c r="A15" s="3">
        <v>46186</v>
      </c>
      <c r="B15" s="4" t="s">
        <v>9</v>
      </c>
      <c r="C15" s="4">
        <v>1000</v>
      </c>
      <c r="D15" s="4">
        <v>120</v>
      </c>
      <c r="E15" s="4">
        <v>60</v>
      </c>
      <c r="F15" s="4">
        <v>28</v>
      </c>
      <c r="G15" s="4">
        <v>8</v>
      </c>
    </row>
    <row r="16" spans="1:9" x14ac:dyDescent="0.3">
      <c r="A16" s="3">
        <v>46187</v>
      </c>
      <c r="B16" s="4" t="s">
        <v>9</v>
      </c>
      <c r="C16" s="4">
        <v>1020</v>
      </c>
      <c r="D16" s="4">
        <v>122</v>
      </c>
      <c r="E16" s="4">
        <v>62</v>
      </c>
      <c r="F16" s="4">
        <v>29</v>
      </c>
      <c r="G16" s="4">
        <v>8</v>
      </c>
    </row>
    <row r="17" spans="1:13" x14ac:dyDescent="0.3">
      <c r="A17" s="3">
        <v>46188</v>
      </c>
      <c r="B17" s="4" t="s">
        <v>9</v>
      </c>
      <c r="C17" s="4">
        <v>970</v>
      </c>
      <c r="D17" s="4">
        <v>116</v>
      </c>
      <c r="E17" s="4">
        <v>57</v>
      </c>
      <c r="F17" s="4">
        <v>26</v>
      </c>
      <c r="G17" s="4">
        <v>7</v>
      </c>
    </row>
    <row r="18" spans="1:13" x14ac:dyDescent="0.3">
      <c r="A18" s="3">
        <v>46189</v>
      </c>
      <c r="B18" s="4" t="s">
        <v>10</v>
      </c>
      <c r="C18" s="4">
        <v>700</v>
      </c>
      <c r="D18" s="4">
        <v>95</v>
      </c>
      <c r="E18" s="4">
        <v>60</v>
      </c>
      <c r="F18" s="4">
        <v>35</v>
      </c>
      <c r="G18" s="4">
        <v>12</v>
      </c>
    </row>
    <row r="19" spans="1:13" x14ac:dyDescent="0.3">
      <c r="A19" s="3">
        <v>46190</v>
      </c>
      <c r="B19" s="4" t="s">
        <v>10</v>
      </c>
      <c r="C19" s="4">
        <v>750</v>
      </c>
      <c r="D19" s="4">
        <v>100</v>
      </c>
      <c r="E19" s="4">
        <v>65</v>
      </c>
      <c r="F19" s="4">
        <v>38</v>
      </c>
      <c r="G19" s="4">
        <v>13</v>
      </c>
    </row>
    <row r="20" spans="1:13" x14ac:dyDescent="0.3">
      <c r="A20" s="3">
        <v>46191</v>
      </c>
      <c r="B20" s="4" t="s">
        <v>10</v>
      </c>
      <c r="C20" s="4">
        <v>720</v>
      </c>
      <c r="D20" s="4">
        <v>98</v>
      </c>
      <c r="E20" s="4">
        <v>62</v>
      </c>
      <c r="F20" s="4">
        <v>36</v>
      </c>
      <c r="G20" s="4">
        <v>11</v>
      </c>
    </row>
    <row r="21" spans="1:13" x14ac:dyDescent="0.3">
      <c r="A21" s="3">
        <v>46192</v>
      </c>
      <c r="B21" s="4" t="s">
        <v>10</v>
      </c>
      <c r="C21" s="4">
        <v>780</v>
      </c>
      <c r="D21" s="4">
        <v>105</v>
      </c>
      <c r="E21" s="4">
        <v>68</v>
      </c>
      <c r="F21" s="4">
        <v>40</v>
      </c>
      <c r="G21" s="4">
        <v>14</v>
      </c>
    </row>
    <row r="22" spans="1:13" x14ac:dyDescent="0.3">
      <c r="A22" s="3">
        <v>46193</v>
      </c>
      <c r="B22" s="4" t="s">
        <v>10</v>
      </c>
      <c r="C22" s="4">
        <v>760</v>
      </c>
      <c r="D22" s="4">
        <v>102</v>
      </c>
      <c r="E22" s="4">
        <v>66</v>
      </c>
      <c r="F22" s="4">
        <v>39</v>
      </c>
      <c r="G22" s="4">
        <v>13</v>
      </c>
    </row>
    <row r="23" spans="1:13" x14ac:dyDescent="0.3">
      <c r="A23" s="3">
        <v>46194</v>
      </c>
      <c r="B23" s="4" t="s">
        <v>11</v>
      </c>
      <c r="C23" s="4">
        <v>600</v>
      </c>
      <c r="D23" s="4">
        <v>110</v>
      </c>
      <c r="E23" s="4">
        <v>80</v>
      </c>
      <c r="F23" s="4">
        <v>50</v>
      </c>
      <c r="G23" s="4">
        <v>20</v>
      </c>
    </row>
    <row r="24" spans="1:13" x14ac:dyDescent="0.3">
      <c r="A24" s="3">
        <v>46195</v>
      </c>
      <c r="B24" s="4" t="s">
        <v>11</v>
      </c>
      <c r="C24" s="4">
        <v>650</v>
      </c>
      <c r="D24" s="4">
        <v>115</v>
      </c>
      <c r="E24" s="4">
        <v>85</v>
      </c>
      <c r="F24" s="4">
        <v>52</v>
      </c>
      <c r="G24" s="4">
        <v>22</v>
      </c>
      <c r="M24" t="s">
        <v>13</v>
      </c>
    </row>
    <row r="25" spans="1:13" x14ac:dyDescent="0.3">
      <c r="A25" s="3">
        <v>46196</v>
      </c>
      <c r="B25" s="4" t="s">
        <v>11</v>
      </c>
      <c r="C25" s="4">
        <v>620</v>
      </c>
      <c r="D25" s="4">
        <v>112</v>
      </c>
      <c r="E25" s="4">
        <v>82</v>
      </c>
      <c r="F25" s="4">
        <v>51</v>
      </c>
      <c r="G25" s="4">
        <v>21</v>
      </c>
    </row>
    <row r="26" spans="1:13" x14ac:dyDescent="0.3">
      <c r="A26" s="3">
        <v>46197</v>
      </c>
      <c r="B26" s="4" t="s">
        <v>11</v>
      </c>
      <c r="C26" s="4">
        <v>680</v>
      </c>
      <c r="D26" s="4">
        <v>120</v>
      </c>
      <c r="E26" s="4">
        <v>88</v>
      </c>
      <c r="F26" s="4">
        <v>55</v>
      </c>
      <c r="G26" s="4">
        <v>24</v>
      </c>
    </row>
    <row r="27" spans="1:13" x14ac:dyDescent="0.3">
      <c r="A27" s="3">
        <v>46198</v>
      </c>
      <c r="B27" s="4" t="s">
        <v>11</v>
      </c>
      <c r="C27" s="4">
        <v>660</v>
      </c>
      <c r="D27" s="4">
        <v>118</v>
      </c>
      <c r="E27" s="4">
        <v>86</v>
      </c>
      <c r="F27" s="4">
        <v>54</v>
      </c>
      <c r="G27" s="4">
        <v>23</v>
      </c>
    </row>
    <row r="28" spans="1:13" x14ac:dyDescent="0.3">
      <c r="A28" s="3">
        <v>46199</v>
      </c>
      <c r="B28" s="4" t="s">
        <v>12</v>
      </c>
      <c r="C28" s="4">
        <v>900</v>
      </c>
      <c r="D28" s="4">
        <v>100</v>
      </c>
      <c r="E28" s="4">
        <v>45</v>
      </c>
      <c r="F28" s="4">
        <v>18</v>
      </c>
      <c r="G28" s="4">
        <v>5</v>
      </c>
    </row>
    <row r="29" spans="1:13" x14ac:dyDescent="0.3">
      <c r="A29" s="3">
        <v>46200</v>
      </c>
      <c r="B29" s="4" t="s">
        <v>12</v>
      </c>
      <c r="C29" s="4">
        <v>950</v>
      </c>
      <c r="D29" s="4">
        <v>105</v>
      </c>
      <c r="E29" s="4">
        <v>48</v>
      </c>
      <c r="F29" s="4">
        <v>20</v>
      </c>
      <c r="G29" s="4">
        <v>6</v>
      </c>
    </row>
    <row r="30" spans="1:13" x14ac:dyDescent="0.3">
      <c r="A30" s="3">
        <v>46201</v>
      </c>
      <c r="B30" s="4" t="s">
        <v>12</v>
      </c>
      <c r="C30" s="4">
        <v>920</v>
      </c>
      <c r="D30" s="4">
        <v>102</v>
      </c>
      <c r="E30" s="4">
        <v>46</v>
      </c>
      <c r="F30" s="4">
        <v>19</v>
      </c>
      <c r="G30" s="4">
        <v>5</v>
      </c>
    </row>
    <row r="31" spans="1:13" x14ac:dyDescent="0.3">
      <c r="A31" s="3">
        <v>46202</v>
      </c>
      <c r="B31" s="4" t="s">
        <v>12</v>
      </c>
      <c r="C31" s="4">
        <v>980</v>
      </c>
      <c r="D31" s="4">
        <v>108</v>
      </c>
      <c r="E31" s="4">
        <v>50</v>
      </c>
      <c r="F31" s="4">
        <v>22</v>
      </c>
      <c r="G31" s="4">
        <v>7</v>
      </c>
    </row>
    <row r="32" spans="1:13" x14ac:dyDescent="0.3">
      <c r="A32" s="3">
        <v>46203</v>
      </c>
      <c r="B32" s="4" t="s">
        <v>12</v>
      </c>
      <c r="C32" s="4">
        <v>960</v>
      </c>
      <c r="D32" s="4">
        <v>106</v>
      </c>
      <c r="E32" s="4">
        <v>49</v>
      </c>
      <c r="F32" s="4">
        <v>21</v>
      </c>
      <c r="G32" s="4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8AC9D-999E-4CF3-9352-49C199814427}">
  <dimension ref="A1"/>
  <sheetViews>
    <sheetView showGridLines="0" tabSelected="1" zoomScale="74" workbookViewId="0">
      <selection activeCell="S19" sqref="S1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Sravani Koppisetty</dc:creator>
  <cp:lastModifiedBy>Sravani Koppisetty</cp:lastModifiedBy>
  <dcterms:created xsi:type="dcterms:W3CDTF">2026-05-30T13:01:56Z</dcterms:created>
  <dcterms:modified xsi:type="dcterms:W3CDTF">2026-06-01T04:07:36Z</dcterms:modified>
</cp:coreProperties>
</file>